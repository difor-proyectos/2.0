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ebd154926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06359aa7afec41bd"/>
    <x:sheet xmlns:r="http://schemas.openxmlformats.org/officeDocument/2006/relationships" name="PROSPECTOS" sheetId="2" r:id="R953693e968554ccf"/>
    <x:sheet xmlns:r="http://schemas.openxmlformats.org/officeDocument/2006/relationships" name="COTIZACIONES" sheetId="3" r:id="Re1f2495b4aca4e59"/>
    <x:sheet xmlns:r="http://schemas.openxmlformats.org/officeDocument/2006/relationships" name="BK" sheetId="4" r:id="R1f11b3c55101424e"/>
    <x:sheet xmlns:r="http://schemas.openxmlformats.org/officeDocument/2006/relationships" name="VENTAS" sheetId="5" r:id="R4521900c31804d02"/>
    <x:sheet xmlns:r="http://schemas.openxmlformats.org/officeDocument/2006/relationships" name="SEGUROS" sheetId="6" r:id="Rfda415133ede4ed4"/>
    <x:sheet xmlns:r="http://schemas.openxmlformats.org/officeDocument/2006/relationships" name="EVALUACIONES" sheetId="7" r:id="R3009eb22b81b4aa0"/>
    <x:sheet xmlns:r="http://schemas.openxmlformats.org/officeDocument/2006/relationships" name="PARTE_PAGO" sheetId="8" r:id="Rdc3046aa820a4e2f"/>
    <x:sheet xmlns:r="http://schemas.openxmlformats.org/officeDocument/2006/relationships" name="PRE_EVALUACION" sheetId="9" r:id="R14ad1a0a869e4d81"/>
    <x:sheet xmlns:r="http://schemas.openxmlformats.org/officeDocument/2006/relationships" name="DATA_MASTER" sheetId="10" r:id="R15dd2121b33d4720"/>
    <x:sheet xmlns:r="http://schemas.openxmlformats.org/officeDocument/2006/relationships" name="ANALISIS_MENSUAL" sheetId="11" r:id="R422972e18b6e4d4b"/>
    <x:sheet xmlns:r="http://schemas.openxmlformats.org/officeDocument/2006/relationships" name="ORIGEN_PROSPECTOS" sheetId="12" r:id="Rf80972f37aa943db"/>
    <x:sheet xmlns:r="http://schemas.openxmlformats.org/officeDocument/2006/relationships" name="DASHBOARD" sheetId="13" r:id="Rf859525b8df24c3f"/>
    <x:sheet xmlns:r="http://schemas.openxmlformats.org/officeDocument/2006/relationships" name="INSTRUCCIONES" sheetId="14" r:id="R624045f63769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0%"/>
  </x:numFmts>
  <x:fonts count="10">
    <x:font>
      <x:sz val="11"/>
      <x:name val="Carlito"/>
    </x:font>
    <x:font>
      <x:b/>
      <x:sz val="22"/>
      <x:color rgb="FFFFFFFF"/>
      <x:name val="Carlito"/>
    </x:font>
    <x:font>
      <x:sz val="10"/>
      <x:color rgb="FFFFFFFF"/>
      <x:name val="Carlito"/>
    </x:font>
    <x:font>
      <x:b/>
      <x:sz val="10"/>
      <x:color rgb="FFFFFFFF"/>
      <x:name val="Carlito"/>
    </x:font>
    <x:font>
      <x:b/>
      <x:sz val="11"/>
      <x:color rgb="FF162033"/>
      <x:name val="Carlito"/>
    </x:font>
    <x:font>
      <x:i/>
      <x:sz val="9"/>
      <x:color rgb="FF667085"/>
      <x:name val="Carlito"/>
    </x:font>
    <x:font>
      <x:b/>
      <x:sz val="9"/>
      <x:color rgb="FFFFFFFF"/>
      <x:name val="Carlito"/>
    </x:font>
    <x:font>
      <x:b/>
      <x:sz val="25"/>
      <x:color rgb="FF162033"/>
      <x:name val="Carlito"/>
    </x:font>
    <x:font>
      <x:sz val="11"/>
      <x:color rgb="FF162033"/>
      <x:name val="Carlito"/>
    </x:font>
    <x:font>
      <x:sz val="10"/>
      <x:color rgb="FF1620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0"/>
      </x:patternFill>
    </x:fill>
    <x:fill>
      <x:patternFill patternType="solid">
        <x:fgColor rgb="FF1C2530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4" borderId="0" xfId="0" applyNumberFormat="1" applyFont="1" applyFill="1" applyBorder="1"/>
    <x:xf numFmtId="203" fontId="0" fillId="4" borderId="0" xfId="0" applyNumberFormat="1" applyFont="1" applyFill="1" applyBorder="1"/>
    <x:xf numFmtId="0" fontId="8" fillId="4" borderId="0" xfId="0" applyNumberFormat="1" applyFont="1" applyFill="1" applyBorder="1"/>
    <x:xf numFmtId="202" fontId="8" fillId="4" borderId="0" xfId="0" applyNumberFormat="1" applyFont="1" applyFill="1" applyBorder="1"/>
    <x:xf numFmtId="203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202" fontId="8" fillId="4" borderId="0" xfId="0" applyNumberFormat="1" applyFont="1" applyFill="1" applyBorder="1" applyAlignment="1">
      <x:alignment wrapText="1"/>
    </x:xf>
    <x:xf numFmtId="203" fontId="8" fillId="4" borderId="0" xfId="0" applyNumberFormat="1" applyFont="1" applyFill="1" applyBorder="1" applyAlignment="1">
      <x:alignment wrapText="1"/>
    </x:xf>
    <x:xf numFmtId="202" fontId="0" fillId="4" borderId="1" xfId="0" applyNumberFormat="1" applyFont="1" applyFill="1" applyBorder="1"/>
    <x:xf numFmtId="203" fontId="0" fillId="4" borderId="1" xfId="0" applyNumberFormat="1" applyFont="1" applyFill="1" applyBorder="1"/>
    <x:xf numFmtId="0" fontId="8" fillId="4" borderId="1" xfId="0" applyNumberFormat="1" applyFont="1" applyFill="1" applyBorder="1"/>
    <x:xf numFmtId="202" fontId="8" fillId="4" borderId="1" xfId="0" applyNumberFormat="1" applyFont="1" applyFill="1" applyBorder="1"/>
    <x:xf numFmtId="203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202" fontId="8" fillId="4" borderId="1" xfId="0" applyNumberFormat="1" applyFont="1" applyFill="1" applyBorder="1" applyAlignment="1">
      <x:alignment wrapText="1"/>
    </x:xf>
    <x:xf numFmtId="203" fontId="8" fillId="4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295bc881e4af6" /><Relationship Type="http://schemas.openxmlformats.org/officeDocument/2006/relationships/theme" Target="/xl/theme/theme1.xml" Id="Rebb2b981067d41ef" /><Relationship Type="http://schemas.openxmlformats.org/officeDocument/2006/relationships/sharedStrings" Target="/xl/sharedStrings.xml" Id="R21e0fc007ff14875" /><Relationship Type="http://schemas.openxmlformats.org/officeDocument/2006/relationships/worksheet" Target="/xl/worksheets/sheet1.xml" Id="R06359aa7afec41bd" /><Relationship Type="http://schemas.openxmlformats.org/officeDocument/2006/relationships/worksheet" Target="/xl/worksheets/sheet2.xml" Id="R953693e968554ccf" /><Relationship Type="http://schemas.openxmlformats.org/officeDocument/2006/relationships/worksheet" Target="/xl/worksheets/sheet3.xml" Id="Re1f2495b4aca4e59" /><Relationship Type="http://schemas.openxmlformats.org/officeDocument/2006/relationships/worksheet" Target="/xl/worksheets/sheet4.xml" Id="R1f11b3c55101424e" /><Relationship Type="http://schemas.openxmlformats.org/officeDocument/2006/relationships/worksheet" Target="/xl/worksheets/sheet5.xml" Id="R4521900c31804d02" /><Relationship Type="http://schemas.openxmlformats.org/officeDocument/2006/relationships/worksheet" Target="/xl/worksheets/sheet6.xml" Id="Rfda415133ede4ed4" /><Relationship Type="http://schemas.openxmlformats.org/officeDocument/2006/relationships/worksheet" Target="/xl/worksheets/sheet7.xml" Id="R3009eb22b81b4aa0" /><Relationship Type="http://schemas.openxmlformats.org/officeDocument/2006/relationships/worksheet" Target="/xl/worksheets/sheet8.xml" Id="Rdc3046aa820a4e2f" /><Relationship Type="http://schemas.openxmlformats.org/officeDocument/2006/relationships/worksheet" Target="/xl/worksheets/sheet9.xml" Id="R14ad1a0a869e4d81" /><Relationship Type="http://schemas.openxmlformats.org/officeDocument/2006/relationships/worksheet" Target="/xl/worksheets/sheet10.xml" Id="R15dd2121b33d4720" /><Relationship Type="http://schemas.openxmlformats.org/officeDocument/2006/relationships/worksheet" Target="/xl/worksheets/sheet11.xml" Id="R422972e18b6e4d4b" /><Relationship Type="http://schemas.openxmlformats.org/officeDocument/2006/relationships/worksheet" Target="/xl/worksheets/sheet12.xml" Id="Rf80972f37aa943db" /><Relationship Type="http://schemas.openxmlformats.org/officeDocument/2006/relationships/worksheet" Target="/xl/worksheets/sheet13.xml" Id="Rf859525b8df24c3f" /><Relationship Type="http://schemas.openxmlformats.org/officeDocument/2006/relationships/worksheet" Target="/xl/worksheets/sheet14.xml" Id="R624045f6376949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79ed033b2e4473" /><Relationship Type="http://schemas.openxmlformats.org/officeDocument/2006/relationships/chart" Target="/xl/drawings/charts/chart2.xml" Id="Rf657fc3438f24d83" /><Relationship Type="http://schemas.openxmlformats.org/officeDocument/2006/relationships/chart" Target="/xl/drawings/charts/chart3.xml" Id="Re925f81d66bd4697" /><Relationship Type="http://schemas.openxmlformats.org/officeDocument/2006/relationships/chart" Target="/xl/drawings/charts/chart4.xml" Id="Rd7b3bcff3dea46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Evolución comercial mes a mes</a:t>
            </a:r>
          </a:p>
        </c:rich>
      </c:tx>
    </c:title>
    <c:plotArea>
      <c:lineChart>
        <c:grouping val="standard"/>
        <c:ser>
          <c:idx val="0"/>
          <c:order val="0"/>
          <c:tx>
            <c:v>Prospectos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'ANALISIS_MENSUAL'!$B$6:$B$17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Cotizaciones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'ANALISIS_MENSUAL'!$C$6:$C$17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BK ingresados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'ANALISIS_MENSUAL'!$D$6:$D$17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BK aprobados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'ANALISIS_MENSUAL'!$E$6:$E$17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Ventas</c:v>
          </c:tx>
          <c:marker>
            <c:symbol val="none"/>
          </c:marker>
          <c:cat>
            <c:strRef>
              <c:f>'ANALISIS_MENSUAL'!$A$6:$A$17</c:f>
              <c:strCache>
                <c:ptCount val="0"/>
              </c:strCache>
            </c:strRef>
          </c:cat>
          <c:val>
            <c:numRef>
              <c:f>'ANALISIS_MENSUAL'!$F$6:$F$17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Embudo comercial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'DASHBOARD'!$A$28:$A$32</c:f>
              <c:strCache>
                <c:ptCount val="0"/>
              </c:strCache>
            </c:strRef>
          </c:cat>
          <c:val>
            <c:numRef>
              <c:f>'DASHBOARD'!$B$28:$B$32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Origen de prospectos</a:t>
            </a:r>
          </a:p>
        </c:rich>
      </c:tx>
    </c:title>
    <c:plotArea>
      <c:pieChart>
        <c:ser>
          <c:idx val="0"/>
          <c:order val="0"/>
          <c:tx>
            <c:v>Cantidad</c:v>
          </c:tx>
          <c:cat>
            <c:strRef>
              <c:f>'ORIGEN_PROSPECTOS'!$A$6:$A$11</c:f>
              <c:strCache>
                <c:ptCount val="0"/>
              </c:strCache>
            </c:strRef>
          </c:cat>
          <c:val>
            <c:numRef>
              <c:f>'ORIGEN_PROSPECTOS'!$B$6:$B$11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vs meta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'DASHBOARD'!$N$43</c:f>
              <c:strCache>
                <c:ptCount val="0"/>
              </c:strCache>
            </c:strRef>
          </c:cat>
          <c:val>
            <c:numRef>
              <c:f>'DASHBOARD'!$O$43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Meta</c:v>
          </c:tx>
          <c:cat>
            <c:strRef>
              <c:f>'DASHBOARD'!$N$43</c:f>
              <c:strCache>
                <c:ptCount val="0"/>
              </c:strCache>
            </c:strRef>
          </c:cat>
          <c:val>
            <c:numRef>
              <c:f>'DASHBOARD'!$P$43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79ed033b2e4473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57fc3438f24d83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25f81d66bd4697"/>
        </a:graphicData>
      </a:graphic>
    </xdr:graphicFrame>
    <xdr:clientData/>
  </xdr:twoCellAnchor>
  <xdr:twoCellAnchor>
    <xdr:from>
      <xdr:col>12</xdr:col>
      <xdr:colOff>0</xdr:colOff>
      <xdr:row>45</xdr:row>
      <xdr:rowOff>0</xdr:rowOff>
    </xdr:from>
    <xdr:to>
      <xdr:col>16</xdr:col>
      <xdr:colOff>0</xdr:colOff>
      <xdr:row>55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b3bcff3dea46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Prospectos" displayName="tblProspectos" ref="A1:S2" headerRowCount="1" totalsRowCount="0" totalsRowShown="0">
  <x:tableColumns count="19">
    <x:tableColumn id="1" name="id"/>
    <x:tableColumn id="2" name="created_at"/>
    <x:tableColumn id="3" name="updated_at"/>
    <x:tableColumn id="4" name="fecha"/>
    <x:tableColumn id="5" name="hora"/>
    <x:tableColumn id="6" name="mes"/>
    <x:tableColumn id="7" name="anio"/>
    <x:tableColumn id="8" name="nombre_cliente"/>
    <x:tableColumn id="9" name="rut"/>
    <x:tableColumn id="10" name="telefono"/>
    <x:tableColumn id="11" name="email"/>
    <x:tableColumn id="12" name="origen"/>
    <x:tableColumn id="13" name="marca"/>
    <x:tableColumn id="14" name="modelo"/>
    <x:tableColumn id="15" name="version"/>
    <x:tableColumn id="16" name="estado"/>
    <x:tableColumn id="17" name="proximo_seguimiento"/>
    <x:tableColumn id="18" name="ejecutivo"/>
    <x:tableColumn id="19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otizaciones" displayName="tblCotizaciones" ref="A1:AA2" headerRowCount="1" totalsRowCount="0" totalsRowShown="0">
  <x:tableColumns count="27">
    <x:tableColumn id="1" name="id"/>
    <x:tableColumn id="2" name="quote_id"/>
    <x:tableColumn id="3" name="vehicle_id"/>
    <x:tableColumn id="4" name="finance_id"/>
    <x:tableColumn id="5" name="created_at"/>
    <x:tableColumn id="6" name="updated_at"/>
    <x:tableColumn id="7" name="fecha"/>
    <x:tableColumn id="8" name="id_prospecto"/>
    <x:tableColumn id="9" name="cliente"/>
    <x:tableColumn id="10" name="rut"/>
    <x:tableColumn id="11" name="telefono"/>
    <x:tableColumn id="12" name="marca"/>
    <x:tableColumn id="13" name="modelo"/>
    <x:tableColumn id="14" name="version"/>
    <x:tableColumn id="15" name="modalidad"/>
    <x:tableColumn id="16" name="precio_lista"/>
    <x:tableColumn id="17" name="precio_venta"/>
    <x:tableColumn id="18" name="documentacion"/>
    <x:tableColumn id="19" name="flete"/>
    <x:tableColumn id="20" name="pie"/>
    <x:tableColumn id="21" name="financiamiento"/>
    <x:tableColumn id="22" name="numero_cuotas"/>
    <x:tableColumn id="23" name="valor_cuota"/>
    <x:tableColumn id="24" name="cuoton_vfmg"/>
    <x:tableColumn id="25" name="tasa"/>
    <x:tableColumn id="26" name="cae"/>
    <x:tableColumn id="27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BK" displayName="tblBK" ref="A1:Q2" headerRowCount="1" totalsRowCount="0" totalsRowShown="0">
  <x:tableColumns count="17">
    <x:tableColumn id="1" name="id"/>
    <x:tableColumn id="2" name="created_at"/>
    <x:tableColumn id="3" name="updated_at"/>
    <x:tableColumn id="4" name="fecha"/>
    <x:tableColumn id="5" name="cliente"/>
    <x:tableColumn id="6" name="rut"/>
    <x:tableColumn id="7" name="telefono"/>
    <x:tableColumn id="8" name="marca"/>
    <x:tableColumn id="9" name="modelo"/>
    <x:tableColumn id="10" name="version"/>
    <x:tableColumn id="11" name="monto_solicitado"/>
    <x:tableColumn id="12" name="pie"/>
    <x:tableColumn id="13" name="plazo"/>
    <x:tableColumn id="14" name="tipo_credito"/>
    <x:tableColumn id="15" name="estado_bk"/>
    <x:tableColumn id="16" name="resultado"/>
    <x:tableColumn id="17" name="observac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Ventas" displayName="tblVentas" ref="A1:R2" headerRowCount="1" totalsRowCount="0" totalsRowShown="0">
  <x:tableColumns count="18">
    <x:tableColumn id="1" name="id"/>
    <x:tableColumn id="2" name="created_at"/>
    <x:tableColumn id="3" name="updated_at"/>
    <x:tableColumn id="4" name="fecha_venta"/>
    <x:tableColumn id="5" name="cliente"/>
    <x:tableColumn id="6" name="rut"/>
    <x:tableColumn id="7" name="telefono"/>
    <x:tableColumn id="8" name="marca"/>
    <x:tableColumn id="9" name="modelo"/>
    <x:tableColumn id="10" name="version"/>
    <x:tableColumn id="11" name="vin_chasis"/>
    <x:tableColumn id="12" name="nv"/>
    <x:tableColumn id="13" name="tipo_venta"/>
    <x:tableColumn id="14" name="precio_venta"/>
    <x:tableColumn id="15" name="financiamiento"/>
    <x:tableColumn id="16" name="seguro"/>
    <x:tableColumn id="17" name="parte_pago"/>
    <x:tableColumn id="18" name="estado_entreg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eguros" displayName="tblSeguros" ref="A1:M2" headerRowCount="1" totalsRowCount="0" totalsRowShown="0">
  <x:tableColumns count="13">
    <x:tableColumn id="1" name="id"/>
    <x:tableColumn id="2" name="created_at"/>
    <x:tableColumn id="3" name="updated_at"/>
    <x:tableColumn id="4" name="fecha"/>
    <x:tableColumn id="5" name="cliente"/>
    <x:tableColumn id="6" name="rut"/>
    <x:tableColumn id="7" name="telefono"/>
    <x:tableColumn id="8" name="vehiculo"/>
    <x:tableColumn id="9" name="compania"/>
    <x:tableColumn id="10" name="poliza"/>
    <x:tableColumn id="11" name="prima"/>
    <x:tableColumn id="12" name="estado"/>
    <x:tableColumn id="13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Evaluaciones" displayName="tblEvaluaciones" ref="A1:S2" headerRowCount="1" totalsRowCount="0" totalsRowShown="0">
  <x:tableColumns count="19">
    <x:tableColumn id="1" name="id"/>
    <x:tableColumn id="2" name="created_at"/>
    <x:tableColumn id="3" name="updated_at"/>
    <x:tableColumn id="4" name="fecha"/>
    <x:tableColumn id="5" name="cliente"/>
    <x:tableColumn id="6" name="telefono"/>
    <x:tableColumn id="7" name="marca"/>
    <x:tableColumn id="8" name="modelo"/>
    <x:tableColumn id="9" name="version"/>
    <x:tableColumn id="10" name="patente"/>
    <x:tableColumn id="11" name="anio_vehiculo"/>
    <x:tableColumn id="12" name="kilometraje"/>
    <x:tableColumn id="13" name="transmision"/>
    <x:tableColumn id="14" name="combustible"/>
    <x:tableColumn id="15" name="valor_solicitado"/>
    <x:tableColumn id="16" name="valor_aprobado"/>
    <x:tableColumn id="17" name="estado"/>
    <x:tableColumn id="18" name="parte_pago"/>
    <x:tableColumn id="19" name="observacion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PartePago" displayName="tblPartePago" ref="A1:R2" headerRowCount="1" totalsRowCount="0" totalsRowShown="0">
  <x:tableColumns count="18">
    <x:tableColumn id="1" name="id"/>
    <x:tableColumn id="2" name="created_at"/>
    <x:tableColumn id="3" name="updated_at"/>
    <x:tableColumn id="4" name="fecha"/>
    <x:tableColumn id="5" name="cliente"/>
    <x:tableColumn id="6" name="telefono"/>
    <x:tableColumn id="7" name="nv"/>
    <x:tableColumn id="8" name="marca"/>
    <x:tableColumn id="9" name="modelo"/>
    <x:tableColumn id="10" name="version"/>
    <x:tableColumn id="11" name="patente"/>
    <x:tableColumn id="12" name="anio_vehiculo"/>
    <x:tableColumn id="13" name="kilometraje"/>
    <x:tableColumn id="14" name="valor_evaluacion"/>
    <x:tableColumn id="15" name="valor_recibido"/>
    <x:tableColumn id="16" name="venta_asociada"/>
    <x:tableColumn id="17" name="estado"/>
    <x:tableColumn id="18" name="observacion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PreEvaluacion" displayName="tblPreEvaluacion" ref="A1:X2" headerRowCount="1" totalsRowCount="0" totalsRowShown="0">
  <x:tableColumns count="24">
    <x:tableColumn id="1" name="id"/>
    <x:tableColumn id="2" name="created_at"/>
    <x:tableColumn id="3" name="updated_at"/>
    <x:tableColumn id="4" name="fecha"/>
    <x:tableColumn id="5" name="cliente"/>
    <x:tableColumn id="6" name="telefono"/>
    <x:tableColumn id="7" name="marca"/>
    <x:tableColumn id="8" name="modelo"/>
    <x:tableColumn id="9" name="version"/>
    <x:tableColumn id="10" name="kilometraje"/>
    <x:tableColumn id="11" name="color"/>
    <x:tableColumn id="12" name="anio"/>
    <x:tableColumn id="13" name="combustible"/>
    <x:tableColumn id="14" name="transmision"/>
    <x:tableColumn id="15" name="aire_acondicionado"/>
    <x:tableColumn id="16" name="mantenimiento_marca"/>
    <x:tableColumn id="17" name="patente"/>
    <x:tableColumn id="18" name="traccion"/>
    <x:tableColumn id="19" name="iva_afecto"/>
    <x:tableColumn id="20" name="copia_llave"/>
    <x:tableColumn id="21" name="precio_mercado"/>
    <x:tableColumn id="22" name="precio_cliente"/>
    <x:tableColumn id="23" name="estado"/>
    <x:tableColumn id="24" name="observacion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DataMaster" displayName="tblDataMaster" ref="A1:Q2" headerRowCount="1" totalsRowCount="0" totalsRowShown="0">
  <x:tableColumns count="17">
    <x:tableColumn id="1" name="record_id"/>
    <x:tableColumn id="2" name="record_type"/>
    <x:tableColumn id="3" name="fecha"/>
    <x:tableColumn id="4" name="mes"/>
    <x:tableColumn id="5" name="anio"/>
    <x:tableColumn id="6" name="cliente"/>
    <x:tableColumn id="7" name="rut"/>
    <x:tableColumn id="8" name="telefono"/>
    <x:tableColumn id="9" name="marca"/>
    <x:tableColumn id="10" name="modelo"/>
    <x:tableColumn id="11" name="version"/>
    <x:tableColumn id="12" name="origen"/>
    <x:tableColumn id="13" name="estado"/>
    <x:tableColumn id="14" name="monto"/>
    <x:tableColumn id="15" name="ejecutivo"/>
    <x:tableColumn id="16" name="created_at"/>
    <x:tableColumn id="17" name="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0b0b0101ba46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0ac889df8447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06b5a2d5ad43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0d5dd8f3504a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27103a76474a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56e43088504a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04d9cfb80044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861ca781bb42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4667e913b8744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ea4e3877b840497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</x:cols>
  <x:sheetData>
    <x:row r="1" ht="40" customHeight="1">
      <x:c r="A1" s="4" t="str">
        <x:v>DIFOR · CONFIGURACIÓN</x:v>
      </x:c>
      <x:c r="B1" s="4"/>
      <x:c r="C1" s="4"/>
      <x:c r="D1" s="4"/>
      <x:c r="E1" s="4"/>
      <x:c r="F1" s="4"/>
      <x:c r="G1" s="4"/>
      <x:c r="H1" s="4"/>
    </x:row>
    <x:row r="2" ht="24" customHeight="1">
      <x:c r="A2" s="10" t="str">
        <x:v>Filtros centrales del Dashboard ejecutivo V25.5.</x:v>
      </x:c>
      <x:c r="B2" s="10"/>
      <x:c r="C2" s="10"/>
      <x:c r="D2" s="10"/>
      <x:c r="E2" s="10"/>
      <x:c r="F2" s="10"/>
      <x:c r="G2" s="10"/>
      <x:c r="H2" s="10"/>
    </x:row>
    <x:row r="5" ht="27" customHeight="1">
      <x:c r="A5" s="17" t="str">
        <x:v>Parámetro</x:v>
      </x:c>
      <x:c r="B5" s="17" t="str">
        <x:v>Valor</x:v>
      </x:c>
    </x:row>
    <x:row r="6">
      <x:c r="A6" t="str">
        <x:v>Modo Dashboard</x:v>
      </x:c>
      <x:c r="B6" t="str">
        <x:v>Mes</x:v>
      </x:c>
    </x:row>
    <x:row r="7">
      <x:c r="A7" t="str">
        <x:v>Mes</x:v>
      </x:c>
      <x:c r="B7" t="n">
        <x:v>8</x:v>
      </x:c>
    </x:row>
    <x:row r="8">
      <x:c r="A8" t="str">
        <x:v>Año</x:v>
      </x:c>
      <x:c r="B8" t="n">
        <x:v>2026</x:v>
      </x:c>
    </x:row>
    <x:row r="9">
      <x:c r="A9" t="str">
        <x:v>Desde</x:v>
      </x:c>
      <x:c r="B9" s="22" t="n">
        <x:v>46235</x:v>
      </x:c>
    </x:row>
    <x:row r="10">
      <x:c r="A10" t="str">
        <x:v>Hasta</x:v>
      </x:c>
      <x:c r="B10" s="22" t="n">
        <x:v>46246.517464386576</x:v>
      </x:c>
    </x:row>
    <x:row r="11">
      <x:c r="A11" t="str">
        <x:v>Meta mensual ventas</x:v>
      </x:c>
      <x:c r="B11" t="n">
        <x:v>12</x:v>
      </x:c>
    </x:row>
    <x:row r="12">
      <x:c r="A12" t="str">
        <x:v>Ejecutivo</x:v>
      </x:c>
      <x:c r="B12" t="str">
        <x:v>Axel Rojas</x:v>
      </x:c>
    </x:row>
    <x:row r="13">
      <x:c r="A13" t="str">
        <x:v>Versión</x:v>
      </x:c>
      <x:c r="B13" t="str">
        <x:v>V25.5</x:v>
      </x:c>
    </x:row>
  </x:sheetData>
  <x:mergeCells>
    <x:mergeCell ref="A1:H1"/>
    <x:mergeCell ref="A2:H2"/>
  </x:mergeCells>
  <x:dataValidations count="2">
    <x:dataValidation type="list" sqref="B6">
      <x:formula1>"Mes,Rango,Año"</x:formula1>
    </x:dataValidation>
    <x:dataValidation type="list" sqref="B7">
      <x:formula1>"1,2,3,4,5,6,7,8,9,10,11,12"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4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4" hidden="0" customWidth="1"/>
    <x:col min="15" max="15" width="24" hidden="0" customWidth="1"/>
    <x:col min="16" max="16" width="24" hidden="0" customWidth="1"/>
    <x:col min="17" max="17" width="17" hidden="0" customWidth="1"/>
    <x:col min="18" max="18" width="17" hidden="0" customWidth="1"/>
    <x:col min="19" max="19" width="24" hidden="0" customWidth="1"/>
  </x:cols>
  <x:sheetData>
    <x:row r="1" ht="27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hora</x:v>
      </x:c>
      <x:c r="F1" s="17" t="str">
        <x:v>mes</x:v>
      </x:c>
      <x:c r="G1" s="17" t="str">
        <x:v>anio</x:v>
      </x:c>
      <x:c r="H1" s="17" t="str">
        <x:v>nombre_cliente</x:v>
      </x:c>
      <x:c r="I1" s="17" t="str">
        <x:v>rut</x:v>
      </x:c>
      <x:c r="J1" s="17" t="str">
        <x:v>telefono</x:v>
      </x:c>
      <x:c r="K1" s="17" t="str">
        <x:v>email</x:v>
      </x:c>
      <x:c r="L1" s="17" t="str">
        <x:v>origen</x:v>
      </x:c>
      <x:c r="M1" s="17" t="str">
        <x:v>marca</x:v>
      </x:c>
      <x:c r="N1" s="17" t="str">
        <x:v>modelo</x:v>
      </x:c>
      <x:c r="O1" s="17" t="str">
        <x:v>version</x:v>
      </x:c>
      <x:c r="P1" s="17" t="str">
        <x:v>estado</x:v>
      </x:c>
      <x:c r="Q1" s="17" t="str">
        <x:v>proximo_seguimiento</x:v>
      </x:c>
      <x:c r="R1" s="17" t="str">
        <x:v>ejecutivo</x:v>
      </x:c>
      <x:c r="S1" s="17" t="str">
        <x:v>observaciones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</x:row>
  </x:sheetData>
  <x:pageMargins left="0.7" right="0.7" top="0.75" bottom="0.75" header="0.3" footer="0.3"/>
  <x:tableParts count="1">
    <x:tablePart xmlns:r="http://schemas.openxmlformats.org/officeDocument/2006/relationships" r:id="R670b0b0101ba46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7" hidden="0" customWidth="1"/>
    <x:col min="8" max="8" width="17" hidden="0" customWidth="1"/>
    <x:col min="9" max="9" width="24" hidden="0" customWidth="1"/>
    <x:col min="10" max="10" width="17" hidden="0" customWidth="1"/>
    <x:col min="11" max="11" width="17" hidden="0" customWidth="1"/>
    <x:col min="12" max="12" width="17" hidden="0" customWidth="1"/>
    <x:col min="13" max="13" width="24" hidden="0" customWidth="1"/>
    <x:col min="14" max="14" width="24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24" hidden="0" customWidth="1"/>
  </x:cols>
  <x:sheetData>
    <x:row r="1" ht="27" customHeight="1">
      <x:c r="A1" s="17" t="str">
        <x:v>id</x:v>
      </x:c>
      <x:c r="B1" s="17" t="str">
        <x:v>quote_id</x:v>
      </x:c>
      <x:c r="C1" s="17" t="str">
        <x:v>vehicle_id</x:v>
      </x:c>
      <x:c r="D1" s="17" t="str">
        <x:v>finance_id</x:v>
      </x:c>
      <x:c r="E1" s="17" t="str">
        <x:v>created_at</x:v>
      </x:c>
      <x:c r="F1" s="17" t="str">
        <x:v>updated_at</x:v>
      </x:c>
      <x:c r="G1" s="17" t="str">
        <x:v>fecha</x:v>
      </x:c>
      <x:c r="H1" s="17" t="str">
        <x:v>id_prospecto</x:v>
      </x:c>
      <x:c r="I1" s="17" t="str">
        <x:v>cliente</x:v>
      </x:c>
      <x:c r="J1" s="17" t="str">
        <x:v>rut</x:v>
      </x:c>
      <x:c r="K1" s="17" t="str">
        <x:v>telefono</x:v>
      </x:c>
      <x:c r="L1" s="17" t="str">
        <x:v>marca</x:v>
      </x:c>
      <x:c r="M1" s="17" t="str">
        <x:v>modelo</x:v>
      </x:c>
      <x:c r="N1" s="17" t="str">
        <x:v>version</x:v>
      </x:c>
      <x:c r="O1" s="17" t="str">
        <x:v>modalidad</x:v>
      </x:c>
      <x:c r="P1" s="24" t="str">
        <x:v>precio_lista</x:v>
      </x:c>
      <x:c r="Q1" s="24" t="str">
        <x:v>precio_venta</x:v>
      </x:c>
      <x:c r="R1" s="24" t="str">
        <x:v>documentacion</x:v>
      </x:c>
      <x:c r="S1" s="24" t="str">
        <x:v>flete</x:v>
      </x:c>
      <x:c r="T1" s="24" t="str">
        <x:v>pie</x:v>
      </x:c>
      <x:c r="U1" s="24" t="str">
        <x:v>financiamiento</x:v>
      </x:c>
      <x:c r="V1" s="17" t="str">
        <x:v>numero_cuotas</x:v>
      </x:c>
      <x:c r="W1" s="24" t="str">
        <x:v>valor_cuota</x:v>
      </x:c>
      <x:c r="X1" s="24" t="str">
        <x:v>cuoton_vfmg</x:v>
      </x:c>
      <x:c r="Y1" s="17" t="str">
        <x:v>tasa</x:v>
      </x:c>
      <x:c r="Z1" s="17" t="str">
        <x:v>cae</x:v>
      </x:c>
      <x:c r="AA1" s="17" t="str">
        <x:v>estado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</x:row>
  </x:sheetData>
  <x:pageMargins left="0.7" right="0.7" top="0.75" bottom="0.75" header="0.3" footer="0.3"/>
  <x:tableParts count="1">
    <x:tablePart xmlns:r="http://schemas.openxmlformats.org/officeDocument/2006/relationships" r:id="Rd50ac889df8447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24" hidden="0" customWidth="1"/>
    <x:col min="10" max="10" width="24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4" hidden="0" customWidth="1"/>
  </x:cols>
  <x:sheetData>
    <x:row r="1" ht="27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cliente</x:v>
      </x:c>
      <x:c r="F1" s="17" t="str">
        <x:v>rut</x:v>
      </x:c>
      <x:c r="G1" s="17" t="str">
        <x:v>telefono</x:v>
      </x:c>
      <x:c r="H1" s="17" t="str">
        <x:v>marca</x:v>
      </x:c>
      <x:c r="I1" s="17" t="str">
        <x:v>modelo</x:v>
      </x:c>
      <x:c r="J1" s="17" t="str">
        <x:v>version</x:v>
      </x:c>
      <x:c r="K1" s="24" t="str">
        <x:v>monto_solicitado</x:v>
      </x:c>
      <x:c r="L1" s="24" t="str">
        <x:v>pie</x:v>
      </x:c>
      <x:c r="M1" s="17" t="str">
        <x:v>plazo</x:v>
      </x:c>
      <x:c r="N1" s="17" t="str">
        <x:v>tipo_credito</x:v>
      </x:c>
      <x:c r="O1" s="17" t="str">
        <x:v>estado_bk</x:v>
      </x:c>
      <x:c r="P1" s="17" t="str">
        <x:v>resultado</x:v>
      </x:c>
      <x:c r="Q1" s="17" t="str">
        <x:v>observacion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</x:row>
  </x:sheetData>
  <x:pageMargins left="0.7" right="0.7" top="0.75" bottom="0.75" header="0.3" footer="0.3"/>
  <x:tableParts count="1">
    <x:tablePart xmlns:r="http://schemas.openxmlformats.org/officeDocument/2006/relationships" r:id="Re906b5a2d5ad43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24" hidden="0" customWidth="1"/>
    <x:col min="10" max="10" width="24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27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fecha_venta</x:v>
      </x:c>
      <x:c r="E1" s="17" t="str">
        <x:v>cliente</x:v>
      </x:c>
      <x:c r="F1" s="17" t="str">
        <x:v>rut</x:v>
      </x:c>
      <x:c r="G1" s="17" t="str">
        <x:v>telefono</x:v>
      </x:c>
      <x:c r="H1" s="17" t="str">
        <x:v>marca</x:v>
      </x:c>
      <x:c r="I1" s="17" t="str">
        <x:v>modelo</x:v>
      </x:c>
      <x:c r="J1" s="17" t="str">
        <x:v>version</x:v>
      </x:c>
      <x:c r="K1" s="17" t="str">
        <x:v>vin_chasis</x:v>
      </x:c>
      <x:c r="L1" s="17" t="str">
        <x:v>nv</x:v>
      </x:c>
      <x:c r="M1" s="17" t="str">
        <x:v>tipo_venta</x:v>
      </x:c>
      <x:c r="N1" s="24" t="str">
        <x:v>precio_venta</x:v>
      </x:c>
      <x:c r="O1" s="17" t="str">
        <x:v>financiamiento</x:v>
      </x:c>
      <x:c r="P1" s="17" t="str">
        <x:v>seguro</x:v>
      </x:c>
      <x:c r="Q1" s="17" t="str">
        <x:v>parte_pago</x:v>
      </x:c>
      <x:c r="R1" s="17" t="str">
        <x:v>estado_entrega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  <x:tableParts count="1">
    <x:tablePart xmlns:r="http://schemas.openxmlformats.org/officeDocument/2006/relationships" r:id="Rd20d5dd8f3504ae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24" hidden="0" customWidth="1"/>
  </x:cols>
  <x:sheetData>
    <x:row r="1" ht="27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cliente</x:v>
      </x:c>
      <x:c r="F1" s="17" t="str">
        <x:v>rut</x:v>
      </x:c>
      <x:c r="G1" s="17" t="str">
        <x:v>telefono</x:v>
      </x:c>
      <x:c r="H1" s="17" t="str">
        <x:v>vehiculo</x:v>
      </x:c>
      <x:c r="I1" s="17" t="str">
        <x:v>compania</x:v>
      </x:c>
      <x:c r="J1" s="17" t="str">
        <x:v>poliza</x:v>
      </x:c>
      <x:c r="K1" s="24" t="str">
        <x:v>prima</x:v>
      </x:c>
      <x:c r="L1" s="17" t="str">
        <x:v>estado</x:v>
      </x:c>
      <x:c r="M1" s="17" t="str">
        <x:v>observaciones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  <x:tableParts count="1">
    <x:tablePart xmlns:r="http://schemas.openxmlformats.org/officeDocument/2006/relationships" r:id="R6527103a76474a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24" hidden="0" customWidth="1"/>
    <x:col min="9" max="9" width="2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4" hidden="0" customWidth="1"/>
    <x:col min="18" max="18" width="17" hidden="0" customWidth="1"/>
    <x:col min="19" max="19" width="24" hidden="0" customWidth="1"/>
  </x:cols>
  <x:sheetData>
    <x:row r="1" ht="27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cliente</x:v>
      </x:c>
      <x:c r="F1" s="17" t="str">
        <x:v>telefono</x:v>
      </x:c>
      <x:c r="G1" s="17" t="str">
        <x:v>marca</x:v>
      </x:c>
      <x:c r="H1" s="17" t="str">
        <x:v>modelo</x:v>
      </x:c>
      <x:c r="I1" s="17" t="str">
        <x:v>version</x:v>
      </x:c>
      <x:c r="J1" s="17" t="str">
        <x:v>patente</x:v>
      </x:c>
      <x:c r="K1" s="17" t="str">
        <x:v>anio_vehiculo</x:v>
      </x:c>
      <x:c r="L1" s="17" t="str">
        <x:v>kilometraje</x:v>
      </x:c>
      <x:c r="M1" s="17" t="str">
        <x:v>transmision</x:v>
      </x:c>
      <x:c r="N1" s="17" t="str">
        <x:v>combustible</x:v>
      </x:c>
      <x:c r="O1" s="24" t="str">
        <x:v>valor_solicitado</x:v>
      </x:c>
      <x:c r="P1" s="24" t="str">
        <x:v>valor_aprobado</x:v>
      </x:c>
      <x:c r="Q1" s="17" t="str">
        <x:v>estado</x:v>
      </x:c>
      <x:c r="R1" s="17" t="str">
        <x:v>parte_pago</x:v>
      </x:c>
      <x:c r="S1" s="17" t="str">
        <x:v>observaciones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</x:row>
  </x:sheetData>
  <x:pageMargins left="0.7" right="0.7" top="0.75" bottom="0.75" header="0.3" footer="0.3"/>
  <x:tableParts count="1">
    <x:tablePart xmlns:r="http://schemas.openxmlformats.org/officeDocument/2006/relationships" r:id="R2f56e43088504a9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24" hidden="0" customWidth="1"/>
    <x:col min="10" max="10" width="24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4" hidden="0" customWidth="1"/>
    <x:col min="18" max="18" width="24" hidden="0" customWidth="1"/>
  </x:cols>
  <x:sheetData>
    <x:row r="1" ht="27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cliente</x:v>
      </x:c>
      <x:c r="F1" s="17" t="str">
        <x:v>telefono</x:v>
      </x:c>
      <x:c r="G1" s="17" t="str">
        <x:v>nv</x:v>
      </x:c>
      <x:c r="H1" s="17" t="str">
        <x:v>marca</x:v>
      </x:c>
      <x:c r="I1" s="17" t="str">
        <x:v>modelo</x:v>
      </x:c>
      <x:c r="J1" s="17" t="str">
        <x:v>version</x:v>
      </x:c>
      <x:c r="K1" s="17" t="str">
        <x:v>patente</x:v>
      </x:c>
      <x:c r="L1" s="17" t="str">
        <x:v>anio_vehiculo</x:v>
      </x:c>
      <x:c r="M1" s="17" t="str">
        <x:v>kilometraje</x:v>
      </x:c>
      <x:c r="N1" s="24" t="str">
        <x:v>valor_evaluacion</x:v>
      </x:c>
      <x:c r="O1" s="24" t="str">
        <x:v>valor_recibido</x:v>
      </x:c>
      <x:c r="P1" s="17" t="str">
        <x:v>venta_asociada</x:v>
      </x:c>
      <x:c r="Q1" s="17" t="str">
        <x:v>estado</x:v>
      </x:c>
      <x:c r="R1" s="17" t="str">
        <x:v>observaciones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  <x:tableParts count="1">
    <x:tablePart xmlns:r="http://schemas.openxmlformats.org/officeDocument/2006/relationships" r:id="R3704d9cfb800441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24" hidden="0" customWidth="1"/>
    <x:col min="9" max="9" width="2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24" hidden="0" customWidth="1"/>
    <x:col min="24" max="24" width="24" hidden="0" customWidth="1"/>
  </x:cols>
  <x:sheetData>
    <x:row r="1" ht="27" customHeight="1">
      <x:c r="A1" s="17" t="str">
        <x:v>id</x:v>
      </x:c>
      <x:c r="B1" s="17" t="str">
        <x:v>created_at</x:v>
      </x:c>
      <x:c r="C1" s="17" t="str">
        <x:v>updated_at</x:v>
      </x:c>
      <x:c r="D1" s="17" t="str">
        <x:v>fecha</x:v>
      </x:c>
      <x:c r="E1" s="17" t="str">
        <x:v>cliente</x:v>
      </x:c>
      <x:c r="F1" s="17" t="str">
        <x:v>telefono</x:v>
      </x:c>
      <x:c r="G1" s="17" t="str">
        <x:v>marca</x:v>
      </x:c>
      <x:c r="H1" s="17" t="str">
        <x:v>modelo</x:v>
      </x:c>
      <x:c r="I1" s="17" t="str">
        <x:v>version</x:v>
      </x:c>
      <x:c r="J1" s="17" t="str">
        <x:v>kilometraje</x:v>
      </x:c>
      <x:c r="K1" s="17" t="str">
        <x:v>color</x:v>
      </x:c>
      <x:c r="L1" s="17" t="str">
        <x:v>anio</x:v>
      </x:c>
      <x:c r="M1" s="17" t="str">
        <x:v>combustible</x:v>
      </x:c>
      <x:c r="N1" s="17" t="str">
        <x:v>transmision</x:v>
      </x:c>
      <x:c r="O1" s="17" t="str">
        <x:v>aire_acondicionado</x:v>
      </x:c>
      <x:c r="P1" s="17" t="str">
        <x:v>mantenimiento_marca</x:v>
      </x:c>
      <x:c r="Q1" s="17" t="str">
        <x:v>patente</x:v>
      </x:c>
      <x:c r="R1" s="17" t="str">
        <x:v>traccion</x:v>
      </x:c>
      <x:c r="S1" s="17" t="str">
        <x:v>iva_afecto</x:v>
      </x:c>
      <x:c r="T1" s="17" t="str">
        <x:v>copia_llave</x:v>
      </x:c>
      <x:c r="U1" s="24" t="str">
        <x:v>precio_mercado</x:v>
      </x:c>
      <x:c r="V1" s="24" t="str">
        <x:v>precio_cliente</x:v>
      </x:c>
      <x:c r="W1" s="17" t="str">
        <x:v>estado</x:v>
      </x:c>
      <x:c r="X1" s="17" t="str">
        <x:v>observaciones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</x:row>
  </x:sheetData>
  <x:pageMargins left="0.7" right="0.7" top="0.75" bottom="0.75" header="0.3" footer="0.3"/>
  <x:tableParts count="1">
    <x:tablePart xmlns:r="http://schemas.openxmlformats.org/officeDocument/2006/relationships" r:id="R30861ca781bb42d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24" hidden="0" customWidth="1"/>
    <x:col min="11" max="11" width="24" hidden="0" customWidth="1"/>
    <x:col min="12" max="12" width="17" hidden="0" customWidth="1"/>
    <x:col min="13" max="13" width="24" hidden="0" customWidth="1"/>
    <x:col min="14" max="14" width="17" hidden="0" customWidth="1"/>
    <x:col min="15" max="15" width="17" hidden="0" customWidth="1"/>
    <x:col min="16" max="16" width="23" hidden="0" customWidth="1"/>
    <x:col min="17" max="17" width="23" hidden="0" customWidth="1"/>
  </x:cols>
  <x:sheetData>
    <x:row r="1" ht="27" customHeight="1">
      <x:c r="A1" s="17" t="str">
        <x:v>record_id</x:v>
      </x:c>
      <x:c r="B1" s="17" t="str">
        <x:v>record_type</x:v>
      </x:c>
      <x:c r="C1" s="17" t="str">
        <x:v>fecha</x:v>
      </x:c>
      <x:c r="D1" s="17" t="str">
        <x:v>mes</x:v>
      </x:c>
      <x:c r="E1" s="17" t="str">
        <x:v>anio</x:v>
      </x:c>
      <x:c r="F1" s="17" t="str">
        <x:v>cliente</x:v>
      </x:c>
      <x:c r="G1" s="17" t="str">
        <x:v>rut</x:v>
      </x:c>
      <x:c r="H1" s="17" t="str">
        <x:v>telefono</x:v>
      </x:c>
      <x:c r="I1" s="17" t="str">
        <x:v>marca</x:v>
      </x:c>
      <x:c r="J1" s="17" t="str">
        <x:v>modelo</x:v>
      </x:c>
      <x:c r="K1" s="17" t="str">
        <x:v>version</x:v>
      </x:c>
      <x:c r="L1" s="17" t="str">
        <x:v>origen</x:v>
      </x:c>
      <x:c r="M1" s="17" t="str">
        <x:v>estado</x:v>
      </x:c>
      <x:c r="N1" s="24" t="str">
        <x:v>monto</x:v>
      </x:c>
      <x:c r="O1" s="17" t="str">
        <x:v>ejecutivo</x:v>
      </x:c>
      <x:c r="P1" s="17" t="str">
        <x:v>created_at</x:v>
      </x:c>
      <x:c r="Q1" s="17" t="str">
        <x:v>updated_at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</x:row>
  </x:sheetData>
  <x:dataValidations count="1">
    <x:dataValidation type="list" sqref="B2:B5000">
      <x:formula1>"prospecto,cotizacion,bk,venta,seguro,evaluacion,parte_pago,pre_evaluacion"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667e913b87448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40" customHeight="1">
      <x:c r="A1" s="4" t="str">
        <x:v>ANÁLISIS MES A MES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10" t="str">
        <x:v>Evolución anual de actividad comercial y resultados.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5" ht="27" customHeight="1">
      <x:c r="A5" s="17" t="str">
        <x:v>Mes</x:v>
      </x:c>
      <x:c r="B5" s="17" t="str">
        <x:v>Prospectos</x:v>
      </x:c>
      <x:c r="C5" s="17" t="str">
        <x:v>Cotizaciones</x:v>
      </x:c>
      <x:c r="D5" s="17" t="str">
        <x:v>BK ingresados</x:v>
      </x:c>
      <x:c r="E5" s="17" t="str">
        <x:v>BK aprobados</x:v>
      </x:c>
      <x:c r="F5" s="17" t="str">
        <x:v>Ventas</x:v>
      </x:c>
      <x:c r="G5" s="17" t="str">
        <x:v>Seguros</x:v>
      </x:c>
      <x:c r="H5" s="17" t="str">
        <x:v>Evaluaciones</x:v>
      </x:c>
      <x:c r="I5" s="17" t="str">
        <x:v>Parte de pago</x:v>
      </x:c>
      <x:c r="J5" s="17" t="str">
        <x:v>Conversión</x:v>
      </x:c>
    </x:row>
    <x:row r="6">
      <x:c r="A6" t="n">
        <x:v>1</x:v>
      </x:c>
      <x:c r="B6" t="n">
        <x:f>COUNTIFS(DATA_MASTER!$B:$B,"prospecto",DATA_MASTER!$D:$D,$A6,DATA_MASTER!$E:$E,CONFIG!$B$8)</x:f>
        <x:v>0</x:v>
      </x:c>
      <x:c r="C6" t="n">
        <x:f>COUNTIFS(DATA_MASTER!$B:$B,"cotizacion",DATA_MASTER!$D:$D,$A6,DATA_MASTER!$E:$E,CONFIG!$B$8)</x:f>
        <x:v>0</x:v>
      </x:c>
      <x:c r="D6" t="n">
        <x:f>COUNTIFS(DATA_MASTER!$B:$B,"bk",DATA_MASTER!$D:$D,$A6,DATA_MASTER!$E:$E,CONFIG!$B$8)</x:f>
        <x:v>0</x:v>
      </x:c>
      <x:c r="E6" t="n">
        <x:f>COUNTIFS(DATA_MASTER!$B:$B,"bk",DATA_MASTER!$M:$M,"Aprobado",DATA_MASTER!$D:$D,$A6,DATA_MASTER!$E:$E,CONFIG!$B$8)</x:f>
        <x:v>0</x:v>
      </x:c>
      <x:c r="F6" t="n">
        <x:f>COUNTIFS(DATA_MASTER!$B:$B,"venta",DATA_MASTER!$D:$D,$A6,DATA_MASTER!$E:$E,CONFIG!$B$8)</x:f>
        <x:v>0</x:v>
      </x:c>
      <x:c r="G6" t="n">
        <x:f>COUNTIFS(DATA_MASTER!$B:$B,"seguro",DATA_MASTER!$D:$D,$A6,DATA_MASTER!$E:$E,CONFIG!$B$8)</x:f>
        <x:v>0</x:v>
      </x:c>
      <x:c r="H6" t="n">
        <x:f>COUNTIFS(DATA_MASTER!$B:$B,"evaluacion",DATA_MASTER!$D:$D,$A6,DATA_MASTER!$E:$E,CONFIG!$B$8)</x:f>
        <x:v>0</x:v>
      </x:c>
      <x:c r="I6" t="n">
        <x:f>COUNTIFS(DATA_MASTER!$B:$B,"parte_pago",DATA_MASTER!$D:$D,$A6,DATA_MASTER!$E:$E,CONFIG!$B$8)</x:f>
        <x:v>0</x:v>
      </x:c>
      <x:c r="J6" s="26" t="n">
        <x:f>IF(B6=0,0,F6/B6)</x:f>
        <x:v>0</x:v>
      </x:c>
    </x:row>
    <x:row r="7">
      <x:c r="A7" t="n">
        <x:v>2</x:v>
      </x:c>
      <x:c r="B7" t="n">
        <x:f>COUNTIFS(DATA_MASTER!$B:$B,"prospecto",DATA_MASTER!$D:$D,$A7,DATA_MASTER!$E:$E,CONFIG!$B$8)</x:f>
        <x:v>0</x:v>
      </x:c>
      <x:c r="C7" t="n">
        <x:f>COUNTIFS(DATA_MASTER!$B:$B,"cotizacion",DATA_MASTER!$D:$D,$A7,DATA_MASTER!$E:$E,CONFIG!$B$8)</x:f>
        <x:v>0</x:v>
      </x:c>
      <x:c r="D7" t="n">
        <x:f>COUNTIFS(DATA_MASTER!$B:$B,"bk",DATA_MASTER!$D:$D,$A7,DATA_MASTER!$E:$E,CONFIG!$B$8)</x:f>
        <x:v>0</x:v>
      </x:c>
      <x:c r="E7" t="n">
        <x:f>COUNTIFS(DATA_MASTER!$B:$B,"bk",DATA_MASTER!$M:$M,"Aprobado",DATA_MASTER!$D:$D,$A7,DATA_MASTER!$E:$E,CONFIG!$B$8)</x:f>
        <x:v>0</x:v>
      </x:c>
      <x:c r="F7" t="n">
        <x:f>COUNTIFS(DATA_MASTER!$B:$B,"venta",DATA_MASTER!$D:$D,$A7,DATA_MASTER!$E:$E,CONFIG!$B$8)</x:f>
        <x:v>0</x:v>
      </x:c>
      <x:c r="G7" t="n">
        <x:f>COUNTIFS(DATA_MASTER!$B:$B,"seguro",DATA_MASTER!$D:$D,$A7,DATA_MASTER!$E:$E,CONFIG!$B$8)</x:f>
        <x:v>0</x:v>
      </x:c>
      <x:c r="H7" t="n">
        <x:f>COUNTIFS(DATA_MASTER!$B:$B,"evaluacion",DATA_MASTER!$D:$D,$A7,DATA_MASTER!$E:$E,CONFIG!$B$8)</x:f>
        <x:v>0</x:v>
      </x:c>
      <x:c r="I7" t="n">
        <x:f>COUNTIFS(DATA_MASTER!$B:$B,"parte_pago",DATA_MASTER!$D:$D,$A7,DATA_MASTER!$E:$E,CONFIG!$B$8)</x:f>
        <x:v>0</x:v>
      </x:c>
      <x:c r="J7" s="26" t="n">
        <x:f>IF(B7=0,0,F7/B7)</x:f>
        <x:v>0</x:v>
      </x:c>
    </x:row>
    <x:row r="8">
      <x:c r="A8" t="n">
        <x:v>3</x:v>
      </x:c>
      <x:c r="B8" t="n">
        <x:f>COUNTIFS(DATA_MASTER!$B:$B,"prospecto",DATA_MASTER!$D:$D,$A8,DATA_MASTER!$E:$E,CONFIG!$B$8)</x:f>
        <x:v>0</x:v>
      </x:c>
      <x:c r="C8" t="n">
        <x:f>COUNTIFS(DATA_MASTER!$B:$B,"cotizacion",DATA_MASTER!$D:$D,$A8,DATA_MASTER!$E:$E,CONFIG!$B$8)</x:f>
        <x:v>0</x:v>
      </x:c>
      <x:c r="D8" t="n">
        <x:f>COUNTIFS(DATA_MASTER!$B:$B,"bk",DATA_MASTER!$D:$D,$A8,DATA_MASTER!$E:$E,CONFIG!$B$8)</x:f>
        <x:v>0</x:v>
      </x:c>
      <x:c r="E8" t="n">
        <x:f>COUNTIFS(DATA_MASTER!$B:$B,"bk",DATA_MASTER!$M:$M,"Aprobado",DATA_MASTER!$D:$D,$A8,DATA_MASTER!$E:$E,CONFIG!$B$8)</x:f>
        <x:v>0</x:v>
      </x:c>
      <x:c r="F8" t="n">
        <x:f>COUNTIFS(DATA_MASTER!$B:$B,"venta",DATA_MASTER!$D:$D,$A8,DATA_MASTER!$E:$E,CONFIG!$B$8)</x:f>
        <x:v>0</x:v>
      </x:c>
      <x:c r="G8" t="n">
        <x:f>COUNTIFS(DATA_MASTER!$B:$B,"seguro",DATA_MASTER!$D:$D,$A8,DATA_MASTER!$E:$E,CONFIG!$B$8)</x:f>
        <x:v>0</x:v>
      </x:c>
      <x:c r="H8" t="n">
        <x:f>COUNTIFS(DATA_MASTER!$B:$B,"evaluacion",DATA_MASTER!$D:$D,$A8,DATA_MASTER!$E:$E,CONFIG!$B$8)</x:f>
        <x:v>0</x:v>
      </x:c>
      <x:c r="I8" t="n">
        <x:f>COUNTIFS(DATA_MASTER!$B:$B,"parte_pago",DATA_MASTER!$D:$D,$A8,DATA_MASTER!$E:$E,CONFIG!$B$8)</x:f>
        <x:v>0</x:v>
      </x:c>
      <x:c r="J8" s="26" t="n">
        <x:f>IF(B8=0,0,F8/B8)</x:f>
        <x:v>0</x:v>
      </x:c>
    </x:row>
    <x:row r="9">
      <x:c r="A9" t="n">
        <x:v>4</x:v>
      </x:c>
      <x:c r="B9" t="n">
        <x:f>COUNTIFS(DATA_MASTER!$B:$B,"prospecto",DATA_MASTER!$D:$D,$A9,DATA_MASTER!$E:$E,CONFIG!$B$8)</x:f>
        <x:v>0</x:v>
      </x:c>
      <x:c r="C9" t="n">
        <x:f>COUNTIFS(DATA_MASTER!$B:$B,"cotizacion",DATA_MASTER!$D:$D,$A9,DATA_MASTER!$E:$E,CONFIG!$B$8)</x:f>
        <x:v>0</x:v>
      </x:c>
      <x:c r="D9" t="n">
        <x:f>COUNTIFS(DATA_MASTER!$B:$B,"bk",DATA_MASTER!$D:$D,$A9,DATA_MASTER!$E:$E,CONFIG!$B$8)</x:f>
        <x:v>0</x:v>
      </x:c>
      <x:c r="E9" t="n">
        <x:f>COUNTIFS(DATA_MASTER!$B:$B,"bk",DATA_MASTER!$M:$M,"Aprobado",DATA_MASTER!$D:$D,$A9,DATA_MASTER!$E:$E,CONFIG!$B$8)</x:f>
        <x:v>0</x:v>
      </x:c>
      <x:c r="F9" t="n">
        <x:f>COUNTIFS(DATA_MASTER!$B:$B,"venta",DATA_MASTER!$D:$D,$A9,DATA_MASTER!$E:$E,CONFIG!$B$8)</x:f>
        <x:v>0</x:v>
      </x:c>
      <x:c r="G9" t="n">
        <x:f>COUNTIFS(DATA_MASTER!$B:$B,"seguro",DATA_MASTER!$D:$D,$A9,DATA_MASTER!$E:$E,CONFIG!$B$8)</x:f>
        <x:v>0</x:v>
      </x:c>
      <x:c r="H9" t="n">
        <x:f>COUNTIFS(DATA_MASTER!$B:$B,"evaluacion",DATA_MASTER!$D:$D,$A9,DATA_MASTER!$E:$E,CONFIG!$B$8)</x:f>
        <x:v>0</x:v>
      </x:c>
      <x:c r="I9" t="n">
        <x:f>COUNTIFS(DATA_MASTER!$B:$B,"parte_pago",DATA_MASTER!$D:$D,$A9,DATA_MASTER!$E:$E,CONFIG!$B$8)</x:f>
        <x:v>0</x:v>
      </x:c>
      <x:c r="J9" s="26" t="n">
        <x:f>IF(B9=0,0,F9/B9)</x:f>
        <x:v>0</x:v>
      </x:c>
    </x:row>
    <x:row r="10">
      <x:c r="A10" t="n">
        <x:v>5</x:v>
      </x:c>
      <x:c r="B10" t="n">
        <x:f>COUNTIFS(DATA_MASTER!$B:$B,"prospecto",DATA_MASTER!$D:$D,$A10,DATA_MASTER!$E:$E,CONFIG!$B$8)</x:f>
        <x:v>0</x:v>
      </x:c>
      <x:c r="C10" t="n">
        <x:f>COUNTIFS(DATA_MASTER!$B:$B,"cotizacion",DATA_MASTER!$D:$D,$A10,DATA_MASTER!$E:$E,CONFIG!$B$8)</x:f>
        <x:v>0</x:v>
      </x:c>
      <x:c r="D10" t="n">
        <x:f>COUNTIFS(DATA_MASTER!$B:$B,"bk",DATA_MASTER!$D:$D,$A10,DATA_MASTER!$E:$E,CONFIG!$B$8)</x:f>
        <x:v>0</x:v>
      </x:c>
      <x:c r="E10" t="n">
        <x:f>COUNTIFS(DATA_MASTER!$B:$B,"bk",DATA_MASTER!$M:$M,"Aprobado",DATA_MASTER!$D:$D,$A10,DATA_MASTER!$E:$E,CONFIG!$B$8)</x:f>
        <x:v>0</x:v>
      </x:c>
      <x:c r="F10" t="n">
        <x:f>COUNTIFS(DATA_MASTER!$B:$B,"venta",DATA_MASTER!$D:$D,$A10,DATA_MASTER!$E:$E,CONFIG!$B$8)</x:f>
        <x:v>0</x:v>
      </x:c>
      <x:c r="G10" t="n">
        <x:f>COUNTIFS(DATA_MASTER!$B:$B,"seguro",DATA_MASTER!$D:$D,$A10,DATA_MASTER!$E:$E,CONFIG!$B$8)</x:f>
        <x:v>0</x:v>
      </x:c>
      <x:c r="H10" t="n">
        <x:f>COUNTIFS(DATA_MASTER!$B:$B,"evaluacion",DATA_MASTER!$D:$D,$A10,DATA_MASTER!$E:$E,CONFIG!$B$8)</x:f>
        <x:v>0</x:v>
      </x:c>
      <x:c r="I10" t="n">
        <x:f>COUNTIFS(DATA_MASTER!$B:$B,"parte_pago",DATA_MASTER!$D:$D,$A10,DATA_MASTER!$E:$E,CONFIG!$B$8)</x:f>
        <x:v>0</x:v>
      </x:c>
      <x:c r="J10" s="26" t="n">
        <x:f>IF(B10=0,0,F10/B10)</x:f>
        <x:v>0</x:v>
      </x:c>
    </x:row>
    <x:row r="11">
      <x:c r="A11" t="n">
        <x:v>6</x:v>
      </x:c>
      <x:c r="B11" t="n">
        <x:f>COUNTIFS(DATA_MASTER!$B:$B,"prospecto",DATA_MASTER!$D:$D,$A11,DATA_MASTER!$E:$E,CONFIG!$B$8)</x:f>
        <x:v>0</x:v>
      </x:c>
      <x:c r="C11" t="n">
        <x:f>COUNTIFS(DATA_MASTER!$B:$B,"cotizacion",DATA_MASTER!$D:$D,$A11,DATA_MASTER!$E:$E,CONFIG!$B$8)</x:f>
        <x:v>0</x:v>
      </x:c>
      <x:c r="D11" t="n">
        <x:f>COUNTIFS(DATA_MASTER!$B:$B,"bk",DATA_MASTER!$D:$D,$A11,DATA_MASTER!$E:$E,CONFIG!$B$8)</x:f>
        <x:v>0</x:v>
      </x:c>
      <x:c r="E11" t="n">
        <x:f>COUNTIFS(DATA_MASTER!$B:$B,"bk",DATA_MASTER!$M:$M,"Aprobado",DATA_MASTER!$D:$D,$A11,DATA_MASTER!$E:$E,CONFIG!$B$8)</x:f>
        <x:v>0</x:v>
      </x:c>
      <x:c r="F11" t="n">
        <x:f>COUNTIFS(DATA_MASTER!$B:$B,"venta",DATA_MASTER!$D:$D,$A11,DATA_MASTER!$E:$E,CONFIG!$B$8)</x:f>
        <x:v>0</x:v>
      </x:c>
      <x:c r="G11" t="n">
        <x:f>COUNTIFS(DATA_MASTER!$B:$B,"seguro",DATA_MASTER!$D:$D,$A11,DATA_MASTER!$E:$E,CONFIG!$B$8)</x:f>
        <x:v>0</x:v>
      </x:c>
      <x:c r="H11" t="n">
        <x:f>COUNTIFS(DATA_MASTER!$B:$B,"evaluacion",DATA_MASTER!$D:$D,$A11,DATA_MASTER!$E:$E,CONFIG!$B$8)</x:f>
        <x:v>0</x:v>
      </x:c>
      <x:c r="I11" t="n">
        <x:f>COUNTIFS(DATA_MASTER!$B:$B,"parte_pago",DATA_MASTER!$D:$D,$A11,DATA_MASTER!$E:$E,CONFIG!$B$8)</x:f>
        <x:v>0</x:v>
      </x:c>
      <x:c r="J11" s="26" t="n">
        <x:f>IF(B11=0,0,F11/B11)</x:f>
        <x:v>0</x:v>
      </x:c>
    </x:row>
    <x:row r="12">
      <x:c r="A12" t="n">
        <x:v>7</x:v>
      </x:c>
      <x:c r="B12" t="n">
        <x:f>COUNTIFS(DATA_MASTER!$B:$B,"prospecto",DATA_MASTER!$D:$D,$A12,DATA_MASTER!$E:$E,CONFIG!$B$8)</x:f>
        <x:v>0</x:v>
      </x:c>
      <x:c r="C12" t="n">
        <x:f>COUNTIFS(DATA_MASTER!$B:$B,"cotizacion",DATA_MASTER!$D:$D,$A12,DATA_MASTER!$E:$E,CONFIG!$B$8)</x:f>
        <x:v>0</x:v>
      </x:c>
      <x:c r="D12" t="n">
        <x:f>COUNTIFS(DATA_MASTER!$B:$B,"bk",DATA_MASTER!$D:$D,$A12,DATA_MASTER!$E:$E,CONFIG!$B$8)</x:f>
        <x:v>0</x:v>
      </x:c>
      <x:c r="E12" t="n">
        <x:f>COUNTIFS(DATA_MASTER!$B:$B,"bk",DATA_MASTER!$M:$M,"Aprobado",DATA_MASTER!$D:$D,$A12,DATA_MASTER!$E:$E,CONFIG!$B$8)</x:f>
        <x:v>0</x:v>
      </x:c>
      <x:c r="F12" t="n">
        <x:f>COUNTIFS(DATA_MASTER!$B:$B,"venta",DATA_MASTER!$D:$D,$A12,DATA_MASTER!$E:$E,CONFIG!$B$8)</x:f>
        <x:v>0</x:v>
      </x:c>
      <x:c r="G12" t="n">
        <x:f>COUNTIFS(DATA_MASTER!$B:$B,"seguro",DATA_MASTER!$D:$D,$A12,DATA_MASTER!$E:$E,CONFIG!$B$8)</x:f>
        <x:v>0</x:v>
      </x:c>
      <x:c r="H12" t="n">
        <x:f>COUNTIFS(DATA_MASTER!$B:$B,"evaluacion",DATA_MASTER!$D:$D,$A12,DATA_MASTER!$E:$E,CONFIG!$B$8)</x:f>
        <x:v>0</x:v>
      </x:c>
      <x:c r="I12" t="n">
        <x:f>COUNTIFS(DATA_MASTER!$B:$B,"parte_pago",DATA_MASTER!$D:$D,$A12,DATA_MASTER!$E:$E,CONFIG!$B$8)</x:f>
        <x:v>0</x:v>
      </x:c>
      <x:c r="J12" s="26" t="n">
        <x:f>IF(B12=0,0,F12/B12)</x:f>
        <x:v>0</x:v>
      </x:c>
    </x:row>
    <x:row r="13">
      <x:c r="A13" t="n">
        <x:v>8</x:v>
      </x:c>
      <x:c r="B13" t="n">
        <x:f>COUNTIFS(DATA_MASTER!$B:$B,"prospecto",DATA_MASTER!$D:$D,$A13,DATA_MASTER!$E:$E,CONFIG!$B$8)</x:f>
        <x:v>0</x:v>
      </x:c>
      <x:c r="C13" t="n">
        <x:f>COUNTIFS(DATA_MASTER!$B:$B,"cotizacion",DATA_MASTER!$D:$D,$A13,DATA_MASTER!$E:$E,CONFIG!$B$8)</x:f>
        <x:v>0</x:v>
      </x:c>
      <x:c r="D13" t="n">
        <x:f>COUNTIFS(DATA_MASTER!$B:$B,"bk",DATA_MASTER!$D:$D,$A13,DATA_MASTER!$E:$E,CONFIG!$B$8)</x:f>
        <x:v>0</x:v>
      </x:c>
      <x:c r="E13" t="n">
        <x:f>COUNTIFS(DATA_MASTER!$B:$B,"bk",DATA_MASTER!$M:$M,"Aprobado",DATA_MASTER!$D:$D,$A13,DATA_MASTER!$E:$E,CONFIG!$B$8)</x:f>
        <x:v>0</x:v>
      </x:c>
      <x:c r="F13" t="n">
        <x:f>COUNTIFS(DATA_MASTER!$B:$B,"venta",DATA_MASTER!$D:$D,$A13,DATA_MASTER!$E:$E,CONFIG!$B$8)</x:f>
        <x:v>0</x:v>
      </x:c>
      <x:c r="G13" t="n">
        <x:f>COUNTIFS(DATA_MASTER!$B:$B,"seguro",DATA_MASTER!$D:$D,$A13,DATA_MASTER!$E:$E,CONFIG!$B$8)</x:f>
        <x:v>0</x:v>
      </x:c>
      <x:c r="H13" t="n">
        <x:f>COUNTIFS(DATA_MASTER!$B:$B,"evaluacion",DATA_MASTER!$D:$D,$A13,DATA_MASTER!$E:$E,CONFIG!$B$8)</x:f>
        <x:v>0</x:v>
      </x:c>
      <x:c r="I13" t="n">
        <x:f>COUNTIFS(DATA_MASTER!$B:$B,"parte_pago",DATA_MASTER!$D:$D,$A13,DATA_MASTER!$E:$E,CONFIG!$B$8)</x:f>
        <x:v>0</x:v>
      </x:c>
      <x:c r="J13" s="26" t="n">
        <x:f>IF(B13=0,0,F13/B13)</x:f>
        <x:v>0</x:v>
      </x:c>
    </x:row>
    <x:row r="14">
      <x:c r="A14" t="n">
        <x:v>9</x:v>
      </x:c>
      <x:c r="B14" t="n">
        <x:f>COUNTIFS(DATA_MASTER!$B:$B,"prospecto",DATA_MASTER!$D:$D,$A14,DATA_MASTER!$E:$E,CONFIG!$B$8)</x:f>
        <x:v>0</x:v>
      </x:c>
      <x:c r="C14" t="n">
        <x:f>COUNTIFS(DATA_MASTER!$B:$B,"cotizacion",DATA_MASTER!$D:$D,$A14,DATA_MASTER!$E:$E,CONFIG!$B$8)</x:f>
        <x:v>0</x:v>
      </x:c>
      <x:c r="D14" t="n">
        <x:f>COUNTIFS(DATA_MASTER!$B:$B,"bk",DATA_MASTER!$D:$D,$A14,DATA_MASTER!$E:$E,CONFIG!$B$8)</x:f>
        <x:v>0</x:v>
      </x:c>
      <x:c r="E14" t="n">
        <x:f>COUNTIFS(DATA_MASTER!$B:$B,"bk",DATA_MASTER!$M:$M,"Aprobado",DATA_MASTER!$D:$D,$A14,DATA_MASTER!$E:$E,CONFIG!$B$8)</x:f>
        <x:v>0</x:v>
      </x:c>
      <x:c r="F14" t="n">
        <x:f>COUNTIFS(DATA_MASTER!$B:$B,"venta",DATA_MASTER!$D:$D,$A14,DATA_MASTER!$E:$E,CONFIG!$B$8)</x:f>
        <x:v>0</x:v>
      </x:c>
      <x:c r="G14" t="n">
        <x:f>COUNTIFS(DATA_MASTER!$B:$B,"seguro",DATA_MASTER!$D:$D,$A14,DATA_MASTER!$E:$E,CONFIG!$B$8)</x:f>
        <x:v>0</x:v>
      </x:c>
      <x:c r="H14" t="n">
        <x:f>COUNTIFS(DATA_MASTER!$B:$B,"evaluacion",DATA_MASTER!$D:$D,$A14,DATA_MASTER!$E:$E,CONFIG!$B$8)</x:f>
        <x:v>0</x:v>
      </x:c>
      <x:c r="I14" t="n">
        <x:f>COUNTIFS(DATA_MASTER!$B:$B,"parte_pago",DATA_MASTER!$D:$D,$A14,DATA_MASTER!$E:$E,CONFIG!$B$8)</x:f>
        <x:v>0</x:v>
      </x:c>
      <x:c r="J14" s="26" t="n">
        <x:f>IF(B14=0,0,F14/B14)</x:f>
        <x:v>0</x:v>
      </x:c>
    </x:row>
    <x:row r="15">
      <x:c r="A15" t="n">
        <x:v>10</x:v>
      </x:c>
      <x:c r="B15" t="n">
        <x:f>COUNTIFS(DATA_MASTER!$B:$B,"prospecto",DATA_MASTER!$D:$D,$A15,DATA_MASTER!$E:$E,CONFIG!$B$8)</x:f>
        <x:v>0</x:v>
      </x:c>
      <x:c r="C15" t="n">
        <x:f>COUNTIFS(DATA_MASTER!$B:$B,"cotizacion",DATA_MASTER!$D:$D,$A15,DATA_MASTER!$E:$E,CONFIG!$B$8)</x:f>
        <x:v>0</x:v>
      </x:c>
      <x:c r="D15" t="n">
        <x:f>COUNTIFS(DATA_MASTER!$B:$B,"bk",DATA_MASTER!$D:$D,$A15,DATA_MASTER!$E:$E,CONFIG!$B$8)</x:f>
        <x:v>0</x:v>
      </x:c>
      <x:c r="E15" t="n">
        <x:f>COUNTIFS(DATA_MASTER!$B:$B,"bk",DATA_MASTER!$M:$M,"Aprobado",DATA_MASTER!$D:$D,$A15,DATA_MASTER!$E:$E,CONFIG!$B$8)</x:f>
        <x:v>0</x:v>
      </x:c>
      <x:c r="F15" t="n">
        <x:f>COUNTIFS(DATA_MASTER!$B:$B,"venta",DATA_MASTER!$D:$D,$A15,DATA_MASTER!$E:$E,CONFIG!$B$8)</x:f>
        <x:v>0</x:v>
      </x:c>
      <x:c r="G15" t="n">
        <x:f>COUNTIFS(DATA_MASTER!$B:$B,"seguro",DATA_MASTER!$D:$D,$A15,DATA_MASTER!$E:$E,CONFIG!$B$8)</x:f>
        <x:v>0</x:v>
      </x:c>
      <x:c r="H15" t="n">
        <x:f>COUNTIFS(DATA_MASTER!$B:$B,"evaluacion",DATA_MASTER!$D:$D,$A15,DATA_MASTER!$E:$E,CONFIG!$B$8)</x:f>
        <x:v>0</x:v>
      </x:c>
      <x:c r="I15" t="n">
        <x:f>COUNTIFS(DATA_MASTER!$B:$B,"parte_pago",DATA_MASTER!$D:$D,$A15,DATA_MASTER!$E:$E,CONFIG!$B$8)</x:f>
        <x:v>0</x:v>
      </x:c>
      <x:c r="J15" s="26" t="n">
        <x:f>IF(B15=0,0,F15/B15)</x:f>
        <x:v>0</x:v>
      </x:c>
    </x:row>
    <x:row r="16">
      <x:c r="A16" t="n">
        <x:v>11</x:v>
      </x:c>
      <x:c r="B16" t="n">
        <x:f>COUNTIFS(DATA_MASTER!$B:$B,"prospecto",DATA_MASTER!$D:$D,$A16,DATA_MASTER!$E:$E,CONFIG!$B$8)</x:f>
        <x:v>0</x:v>
      </x:c>
      <x:c r="C16" t="n">
        <x:f>COUNTIFS(DATA_MASTER!$B:$B,"cotizacion",DATA_MASTER!$D:$D,$A16,DATA_MASTER!$E:$E,CONFIG!$B$8)</x:f>
        <x:v>0</x:v>
      </x:c>
      <x:c r="D16" t="n">
        <x:f>COUNTIFS(DATA_MASTER!$B:$B,"bk",DATA_MASTER!$D:$D,$A16,DATA_MASTER!$E:$E,CONFIG!$B$8)</x:f>
        <x:v>0</x:v>
      </x:c>
      <x:c r="E16" t="n">
        <x:f>COUNTIFS(DATA_MASTER!$B:$B,"bk",DATA_MASTER!$M:$M,"Aprobado",DATA_MASTER!$D:$D,$A16,DATA_MASTER!$E:$E,CONFIG!$B$8)</x:f>
        <x:v>0</x:v>
      </x:c>
      <x:c r="F16" t="n">
        <x:f>COUNTIFS(DATA_MASTER!$B:$B,"venta",DATA_MASTER!$D:$D,$A16,DATA_MASTER!$E:$E,CONFIG!$B$8)</x:f>
        <x:v>0</x:v>
      </x:c>
      <x:c r="G16" t="n">
        <x:f>COUNTIFS(DATA_MASTER!$B:$B,"seguro",DATA_MASTER!$D:$D,$A16,DATA_MASTER!$E:$E,CONFIG!$B$8)</x:f>
        <x:v>0</x:v>
      </x:c>
      <x:c r="H16" t="n">
        <x:f>COUNTIFS(DATA_MASTER!$B:$B,"evaluacion",DATA_MASTER!$D:$D,$A16,DATA_MASTER!$E:$E,CONFIG!$B$8)</x:f>
        <x:v>0</x:v>
      </x:c>
      <x:c r="I16" t="n">
        <x:f>COUNTIFS(DATA_MASTER!$B:$B,"parte_pago",DATA_MASTER!$D:$D,$A16,DATA_MASTER!$E:$E,CONFIG!$B$8)</x:f>
        <x:v>0</x:v>
      </x:c>
      <x:c r="J16" s="26" t="n">
        <x:f>IF(B16=0,0,F16/B16)</x:f>
        <x:v>0</x:v>
      </x:c>
    </x:row>
    <x:row r="17">
      <x:c r="A17" t="n">
        <x:v>12</x:v>
      </x:c>
      <x:c r="B17" t="n">
        <x:f>COUNTIFS(DATA_MASTER!$B:$B,"prospecto",DATA_MASTER!$D:$D,$A17,DATA_MASTER!$E:$E,CONFIG!$B$8)</x:f>
        <x:v>0</x:v>
      </x:c>
      <x:c r="C17" t="n">
        <x:f>COUNTIFS(DATA_MASTER!$B:$B,"cotizacion",DATA_MASTER!$D:$D,$A17,DATA_MASTER!$E:$E,CONFIG!$B$8)</x:f>
        <x:v>0</x:v>
      </x:c>
      <x:c r="D17" t="n">
        <x:f>COUNTIFS(DATA_MASTER!$B:$B,"bk",DATA_MASTER!$D:$D,$A17,DATA_MASTER!$E:$E,CONFIG!$B$8)</x:f>
        <x:v>0</x:v>
      </x:c>
      <x:c r="E17" t="n">
        <x:f>COUNTIFS(DATA_MASTER!$B:$B,"bk",DATA_MASTER!$M:$M,"Aprobado",DATA_MASTER!$D:$D,$A17,DATA_MASTER!$E:$E,CONFIG!$B$8)</x:f>
        <x:v>0</x:v>
      </x:c>
      <x:c r="F17" t="n">
        <x:f>COUNTIFS(DATA_MASTER!$B:$B,"venta",DATA_MASTER!$D:$D,$A17,DATA_MASTER!$E:$E,CONFIG!$B$8)</x:f>
        <x:v>0</x:v>
      </x:c>
      <x:c r="G17" t="n">
        <x:f>COUNTIFS(DATA_MASTER!$B:$B,"seguro",DATA_MASTER!$D:$D,$A17,DATA_MASTER!$E:$E,CONFIG!$B$8)</x:f>
        <x:v>0</x:v>
      </x:c>
      <x:c r="H17" t="n">
        <x:f>COUNTIFS(DATA_MASTER!$B:$B,"evaluacion",DATA_MASTER!$D:$D,$A17,DATA_MASTER!$E:$E,CONFIG!$B$8)</x:f>
        <x:v>0</x:v>
      </x:c>
      <x:c r="I17" t="n">
        <x:f>COUNTIFS(DATA_MASTER!$B:$B,"parte_pago",DATA_MASTER!$D:$D,$A17,DATA_MASTER!$E:$E,CONFIG!$B$8)</x:f>
        <x:v>0</x:v>
      </x:c>
      <x:c r="J17" s="26" t="n">
        <x:f>IF(B17=0,0,F17/B17)</x:f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</x:cols>
  <x:sheetData>
    <x:row r="1" ht="40" customHeight="1">
      <x:c r="A1" s="4" t="str">
        <x:v>ORIGEN DE PROSPECTOS</x:v>
      </x:c>
      <x:c r="B1" s="4"/>
      <x:c r="C1" s="4"/>
      <x:c r="D1" s="4"/>
      <x:c r="E1" s="4"/>
      <x:c r="F1" s="4"/>
    </x:row>
    <x:row r="2" ht="24" customHeight="1">
      <x:c r="A2" s="10" t="str">
        <x:v>Distribución de los canales de captación.</x:v>
      </x:c>
      <x:c r="B2" s="10"/>
      <x:c r="C2" s="10"/>
      <x:c r="D2" s="10"/>
      <x:c r="E2" s="10"/>
      <x:c r="F2" s="10"/>
    </x:row>
    <x:row r="5" ht="27" customHeight="1">
      <x:c r="A5" s="17" t="str">
        <x:v>Origen</x:v>
      </x:c>
      <x:c r="B5" s="17" t="str">
        <x:v>Cantidad</x:v>
      </x:c>
    </x:row>
    <x:row r="6">
      <x:c r="A6" t="str">
        <x:v>Autosystem</x:v>
      </x:c>
      <x:c r="B6" t="n">
        <x:f>COUNTIFS(DATA_MASTER!$B:$B,"prospecto",DATA_MASTER!$L:$L,$A6,DATA_MASTER!$D:$D,CONFIG!$B$7,DATA_MASTER!$E:$E,CONFIG!$B$8)</x:f>
        <x:v>0</x:v>
      </x:c>
    </x:row>
    <x:row r="7">
      <x:c r="A7" t="str">
        <x:v>Sala de venta</x:v>
      </x:c>
      <x:c r="B7" t="n">
        <x:f>COUNTIFS(DATA_MASTER!$B:$B,"prospecto",DATA_MASTER!$L:$L,$A7,DATA_MASTER!$D:$D,CONFIG!$B$7,DATA_MASTER!$E:$E,CONFIG!$B$8)</x:f>
        <x:v>0</x:v>
      </x:c>
    </x:row>
    <x:row r="8">
      <x:c r="A8" t="str">
        <x:v>WhatsApp</x:v>
      </x:c>
      <x:c r="B8" t="n">
        <x:f>COUNTIFS(DATA_MASTER!$B:$B,"prospecto",DATA_MASTER!$L:$L,$A8,DATA_MASTER!$D:$D,CONFIG!$B$7,DATA_MASTER!$E:$E,CONFIG!$B$8)</x:f>
        <x:v>0</x:v>
      </x:c>
    </x:row>
    <x:row r="9">
      <x:c r="A9" t="str">
        <x:v>Redes sociales</x:v>
      </x:c>
      <x:c r="B9" t="n">
        <x:f>COUNTIFS(DATA_MASTER!$B:$B,"prospecto",DATA_MASTER!$L:$L,$A9,DATA_MASTER!$D:$D,CONFIG!$B$7,DATA_MASTER!$E:$E,CONFIG!$B$8)</x:f>
        <x:v>0</x:v>
      </x:c>
    </x:row>
    <x:row r="10">
      <x:c r="A10" t="str">
        <x:v>Referido</x:v>
      </x:c>
      <x:c r="B10" t="n">
        <x:f>COUNTIFS(DATA_MASTER!$B:$B,"prospecto",DATA_MASTER!$L:$L,$A10,DATA_MASTER!$D:$D,CONFIG!$B$7,DATA_MASTER!$E:$E,CONFIG!$B$8)</x:f>
        <x:v>0</x:v>
      </x:c>
    </x:row>
    <x:row r="11">
      <x:c r="A11" t="str">
        <x:v>Otro</x:v>
      </x:c>
      <x:c r="B11" t="n">
        <x:f>COUNTIFS(DATA_MASTER!$B:$B,"prospecto",DATA_MASTER!$L:$L,$A11,DATA_MASTER!$D:$D,CONFIG!$B$7,DATA_MASTER!$E:$E,CONFIG!$B$8)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40" customHeight="1">
      <x:c r="A1" s="4" t="str">
        <x:v>DIFOR · DASHBOARD EJECUTIVO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10" t="str">
        <x:v>Resumen profesional de gestión, conversiones, embudo, tendencia y metas.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27" customHeight="1">
      <x:c r="A4" s="31" t="str">
        <x:v>FILTROS DEL TABLERO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</x:row>
    <x:row r="5" ht="25" customHeight="1">
      <x:c r="A5" s="37" t="str">
        <x:v>Modo</x:v>
      </x:c>
      <x:c r="B5" s="37" t="str">
        <x:f>CONFIG!B6</x:f>
        <x:v>Mes</x:v>
      </x:c>
      <x:c r="C5" s="37" t="str">
        <x:v>Mes</x:v>
      </x:c>
      <x:c r="D5" s="37" t="n">
        <x:f>CONFIG!B7</x:f>
        <x:v>8</x:v>
      </x:c>
      <x:c r="E5" s="37" t="str">
        <x:v>Año</x:v>
      </x:c>
      <x:c r="F5" s="37" t="n">
        <x:f>CONFIG!B8</x:f>
        <x:v>2026</x:v>
      </x:c>
      <x:c r="G5" s="37" t="str">
        <x:v>Desde</x:v>
      </x:c>
      <x:c r="H5" s="37" t="n">
        <x:f>CONFIG!B9</x:f>
        <x:v>46235</x:v>
      </x:c>
      <x:c r="I5" s="37" t="str">
        <x:v>Hasta</x:v>
      </x:c>
      <x:c r="J5" s="37" t="n">
        <x:f>CONFIG!B10</x:f>
        <x:v>46246.517464386576</x:v>
      </x:c>
      <x:c r="K5" s="37" t="str">
        <x:v>Meta ventas</x:v>
      </x:c>
      <x:c r="L5" s="37" t="n">
        <x:f>CONFIG!B11</x:f>
        <x:v>12</x:v>
      </x:c>
    </x:row>
    <x:row r="6">
      <x:c r="A6" s="40" t="str">
        <x:v>Selecciona Mes, Rango de días o Año en CONFIG.</x:v>
      </x:c>
      <x:c r="B6" s="40" t="str"/>
      <x:c r="C6" s="40" t="str"/>
      <x:c r="D6" s="40" t="str"/>
      <x:c r="E6" s="40" t="str"/>
      <x:c r="F6" s="40" t="str"/>
      <x:c r="G6" s="40" t="str"/>
      <x:c r="H6" s="40" t="str"/>
      <x:c r="I6" s="40" t="str"/>
      <x:c r="J6" s="40" t="str"/>
      <x:c r="K6" s="40" t="str"/>
      <x:c r="L6" s="40" t="str"/>
    </x:row>
    <x:row r="8" ht="22" customHeight="1">
      <x:c r="A8" s="42" t="str">
        <x:v>PROSPECTOS</x:v>
      </x:c>
      <x:c r="B8" s="42"/>
      <x:c r="C8" s="42"/>
      <x:c r="D8" s="42"/>
      <x:c r="E8" s="42" t="str">
        <x:v>COTIZACIONES</x:v>
      </x:c>
      <x:c r="F8" s="42"/>
      <x:c r="G8" s="42"/>
      <x:c r="H8" s="42"/>
      <x:c r="I8" s="42" t="str">
        <x:v>BK INGRESADOS</x:v>
      </x:c>
      <x:c r="J8" s="42"/>
      <x:c r="K8" s="42"/>
      <x:c r="L8" s="42"/>
      <x:c r="M8" s="42" t="str">
        <x:v>BK APROBADOS</x:v>
      </x:c>
      <x:c r="N8" s="42"/>
      <x:c r="O8" s="42"/>
      <x:c r="P8" s="42"/>
    </x:row>
    <x:row r="9">
      <x:c r="A9" s="47" t="n">
        <x:f>COUNTIFS(DATA_MASTER!$B:$B,"prospecto",DATA_MASTER!$D:$D,$D$5,DATA_MASTER!$E:$E,$F$5)</x:f>
        <x:v>0</x:v>
      </x:c>
      <x:c r="B9" s="47"/>
      <x:c r="C9" s="47"/>
      <x:c r="D9" s="47"/>
      <x:c r="E9" s="47" t="n">
        <x:f>COUNTIFS(DATA_MASTER!$B:$B,"cotizacion",DATA_MASTER!$D:$D,$D$5,DATA_MASTER!$E:$E,$F$5)</x:f>
        <x:v>0</x:v>
      </x:c>
      <x:c r="F9" s="47"/>
      <x:c r="G9" s="47"/>
      <x:c r="H9" s="47"/>
      <x:c r="I9" s="47" t="n">
        <x:f>COUNTIFS(DATA_MASTER!$B:$B,"bk",DATA_MASTER!$D:$D,$D$5,DATA_MASTER!$E:$E,$F$5)</x:f>
        <x:v>0</x:v>
      </x:c>
      <x:c r="J9" s="47"/>
      <x:c r="K9" s="47"/>
      <x:c r="L9" s="47"/>
      <x:c r="M9" s="47" t="n">
        <x:f>COUNTIFS(DATA_MASTER!$B:$B,"bk",DATA_MASTER!$M:$M,"Aprobado",DATA_MASTER!$D:$D,$D$5,DATA_MASTER!$E:$E,$F$5)</x:f>
        <x:v>0</x:v>
      </x:c>
      <x:c r="N9" s="47"/>
      <x:c r="O9" s="47"/>
      <x:c r="P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</x:row>
    <x:row r="13" ht="22" customHeight="1">
      <x:c r="A13" s="42" t="str">
        <x:v>VENTAS</x:v>
      </x:c>
      <x:c r="B13" s="42"/>
      <x:c r="C13" s="42"/>
      <x:c r="D13" s="42"/>
      <x:c r="E13" s="42" t="str">
        <x:v>SEGUROS</x:v>
      </x:c>
      <x:c r="F13" s="42"/>
      <x:c r="G13" s="42"/>
      <x:c r="H13" s="42"/>
      <x:c r="I13" s="42" t="str">
        <x:v>EVALUACIONES</x:v>
      </x:c>
      <x:c r="J13" s="42"/>
      <x:c r="K13" s="42"/>
      <x:c r="L13" s="42"/>
      <x:c r="M13" s="42" t="str">
        <x:v>PARTE DE PAGO</x:v>
      </x:c>
      <x:c r="N13" s="42"/>
      <x:c r="O13" s="42"/>
      <x:c r="P13" s="42"/>
    </x:row>
    <x:row r="14">
      <x:c r="A14" s="47" t="n">
        <x:f>COUNTIFS(DATA_MASTER!$B:$B,"venta",DATA_MASTER!$D:$D,$D$5,DATA_MASTER!$E:$E,$F$5)</x:f>
        <x:v>0</x:v>
      </x:c>
      <x:c r="B14" s="47"/>
      <x:c r="C14" s="47"/>
      <x:c r="D14" s="47"/>
      <x:c r="E14" s="47" t="n">
        <x:f>COUNTIFS(DATA_MASTER!$B:$B,"seguro",DATA_MASTER!$D:$D,$D$5,DATA_MASTER!$E:$E,$F$5)</x:f>
        <x:v>0</x:v>
      </x:c>
      <x:c r="F14" s="47"/>
      <x:c r="G14" s="47"/>
      <x:c r="H14" s="47"/>
      <x:c r="I14" s="47" t="n">
        <x:f>COUNTIFS(DATA_MASTER!$B:$B,"evaluacion",DATA_MASTER!$D:$D,$D$5,DATA_MASTER!$E:$E,$F$5)</x:f>
        <x:v>0</x:v>
      </x:c>
      <x:c r="J14" s="47"/>
      <x:c r="K14" s="47"/>
      <x:c r="L14" s="47"/>
      <x:c r="M14" s="47" t="n">
        <x:f>COUNTIFS(DATA_MASTER!$B:$B,"parte_pago",DATA_MASTER!$D:$D,$D$5,DATA_MASTER!$E:$E,$F$5)</x:f>
        <x:v>0</x:v>
      </x:c>
      <x:c r="N14" s="47"/>
      <x:c r="O14" s="47"/>
      <x:c r="P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</x:row>
    <x:row r="19" ht="27" customHeight="1">
      <x:c r="A19" s="31" t="str">
        <x:v>CONVERSIONES PRINCIPALES</x:v>
      </x:c>
      <x:c r="B19" s="31"/>
      <x:c r="C19" s="31"/>
      <x:c r="D19" s="31"/>
      <x:c r="E19" s="31"/>
      <x:c r="F19" s="31"/>
      <x:c r="G19" s="31"/>
      <x:c r="H19" s="31"/>
    </x:row>
    <x:row r="20">
      <x:c r="A20" s="59" t="str">
        <x:v>Ventas / Prospectos</x:v>
      </x:c>
      <x:c r="B20" s="59" t="str"/>
      <x:c r="C20" s="59" t="str"/>
      <x:c r="D20" s="59" t="str"/>
      <x:c r="E20" s="59" t="str">
        <x:v>BK aprobados / BK ingresados</x:v>
      </x:c>
      <x:c r="F20" s="59" t="str"/>
      <x:c r="G20" s="59" t="str"/>
      <x:c r="H20" s="59" t="str"/>
    </x:row>
    <x:row r="21">
      <x:c r="A21" s="59" t="str">
        <x:v>Resultado</x:v>
      </x:c>
      <x:c r="B21" s="60" t="n">
        <x:f>IF(A9=0,0,A14/A9)</x:f>
        <x:v>0</x:v>
      </x:c>
      <x:c r="C21" s="59" t="str">
        <x:v>Detalle</x:v>
      </x:c>
      <x:c r="D21" s="59" t="str">
        <x:f>A14&amp;" / "&amp;A9</x:f>
        <x:v>0 / 0</x:v>
      </x:c>
      <x:c r="E21" s="59" t="str">
        <x:v>Resultado</x:v>
      </x:c>
      <x:c r="F21" s="60" t="n">
        <x:f>IF(I9=0,0,M9/I9)</x:f>
        <x:v>0</x:v>
      </x:c>
      <x:c r="G21" s="59" t="str">
        <x:v>Detalle</x:v>
      </x:c>
      <x:c r="H21" s="59" t="str">
        <x:f>M9&amp;" / "&amp;I9</x:f>
        <x:v>0 / 0</x:v>
      </x:c>
    </x:row>
    <x:row r="22">
      <x:c r="A22" s="59" t="str">
        <x:v>Meta</x:v>
      </x:c>
      <x:c r="B22" s="61" t="n">
        <x:v>0.05</x:v>
      </x:c>
      <x:c r="C22" s="59" t="str"/>
      <x:c r="D22" s="59" t="str"/>
      <x:c r="E22" s="59" t="str">
        <x:v>Meta</x:v>
      </x:c>
      <x:c r="F22" s="61" t="n">
        <x:v>0.4</x:v>
      </x:c>
      <x:c r="G22" s="59" t="str"/>
      <x:c r="H22" s="59" t="str"/>
    </x:row>
    <x:row r="23">
      <x:c r="A23" s="59" t="str"/>
      <x:c r="B23" s="59" t="str"/>
      <x:c r="C23" s="59" t="str"/>
      <x:c r="D23" s="59" t="str"/>
      <x:c r="E23" s="59" t="str"/>
      <x:c r="F23" s="59" t="str"/>
      <x:c r="G23" s="59" t="str"/>
      <x:c r="H23" s="59" t="str"/>
    </x:row>
    <x:row r="26" ht="27" customHeight="1">
      <x:c r="A26" s="31" t="str">
        <x:v>EMBUDO COMERCIAL</x:v>
      </x:c>
      <x:c r="B26" s="31"/>
      <x:c r="C26" s="31"/>
      <x:c r="D26" s="31"/>
      <x:c r="E26" s="31"/>
      <x:c r="F26" s="31"/>
    </x:row>
    <x:row r="27" ht="27" customHeight="1">
      <x:c r="A27" s="17" t="str">
        <x:v>Etapa</x:v>
      </x:c>
      <x:c r="B27" s="17" t="str">
        <x:v>Cantidad</x:v>
      </x:c>
      <x:c r="C27" s="17" t="str">
        <x:v>% etapa</x:v>
      </x:c>
    </x:row>
    <x:row r="28">
      <x:c r="A28" t="str">
        <x:v>Prospectos</x:v>
      </x:c>
      <x:c r="B28" t="n">
        <x:f>A9</x:f>
        <x:v>0</x:v>
      </x:c>
      <x:c r="C28" s="26" t="n">
        <x:v>1</x:v>
      </x:c>
    </x:row>
    <x:row r="29">
      <x:c r="A29" t="str">
        <x:v>Cotizaciones</x:v>
      </x:c>
      <x:c r="B29" t="n">
        <x:f>E9</x:f>
        <x:v>0</x:v>
      </x:c>
      <x:c r="C29" s="26" t="n">
        <x:f>IF(B28=0,0,B29/B28)</x:f>
        <x:v>0</x:v>
      </x:c>
    </x:row>
    <x:row r="30">
      <x:c r="A30" t="str">
        <x:v>BK ingresados</x:v>
      </x:c>
      <x:c r="B30" t="n">
        <x:f>I9</x:f>
        <x:v>0</x:v>
      </x:c>
      <x:c r="C30" s="26" t="n">
        <x:f>IF(B29=0,0,B30/B29)</x:f>
        <x:v>0</x:v>
      </x:c>
    </x:row>
    <x:row r="31">
      <x:c r="A31" t="str">
        <x:v>BK aprobados</x:v>
      </x:c>
      <x:c r="B31" t="n">
        <x:f>M9</x:f>
        <x:v>0</x:v>
      </x:c>
      <x:c r="C31" s="26" t="n">
        <x:f>IF(B30=0,0,B31/B30)</x:f>
        <x:v>0</x:v>
      </x:c>
    </x:row>
    <x:row r="32">
      <x:c r="A32" t="str">
        <x:v>Ventas</x:v>
      </x:c>
      <x:c r="B32" t="n">
        <x:f>A14</x:f>
        <x:v>0</x:v>
      </x:c>
      <x:c r="C32" s="26" t="n">
        <x:f>IF(B31=0,0,B32/B31)</x:f>
        <x:v>0</x:v>
      </x:c>
    </x:row>
    <x:row r="42" ht="27" customHeight="1">
      <x:c r="N42" s="17" t="str">
        <x:v>Indicador</x:v>
      </x:c>
      <x:c r="O42" s="17" t="str">
        <x:v>Actual</x:v>
      </x:c>
      <x:c r="P42" s="17" t="str">
        <x:v>Meta</x:v>
      </x:c>
    </x:row>
    <x:row r="43">
      <x:c r="N43" t="str">
        <x:v>Ventas</x:v>
      </x:c>
      <x:c r="O43" t="n">
        <x:f>A14</x:f>
        <x:v>0</x:v>
      </x:c>
      <x:c r="P43" t="n">
        <x:f>$L$5</x:f>
        <x:v>12</x:v>
      </x:c>
    </x:row>
    <x:row r="44">
      <x:c r="N44" t="str"/>
      <x:c r="O44" t="str"/>
      <x:c r="P44" t="str"/>
    </x:row>
    <x:row r="51" ht="27" customHeight="1">
      <x:c r="A51" s="31" t="str">
        <x:v>COMPARATIVO DEL AÑO</x:v>
      </x:c>
      <x:c r="B51" s="31"/>
      <x:c r="C51" s="31"/>
      <x:c r="D51" s="31"/>
      <x:c r="E51" s="31"/>
      <x:c r="F51" s="31"/>
      <x:c r="G51" s="31"/>
      <x:c r="H51" s="31"/>
    </x:row>
    <x:row r="52" ht="27" customHeight="1">
      <x:c r="A52" s="17" t="str">
        <x:v>Mes</x:v>
      </x:c>
      <x:c r="B52" s="17" t="str">
        <x:v>Prospectos</x:v>
      </x:c>
      <x:c r="C52" s="17" t="str">
        <x:v>Cotizaciones</x:v>
      </x:c>
      <x:c r="D52" s="17" t="str">
        <x:v>BK</x:v>
      </x:c>
      <x:c r="E52" s="17" t="str">
        <x:v>Ventas</x:v>
      </x:c>
      <x:c r="F52" s="17" t="str">
        <x:v>Conversión</x:v>
      </x:c>
    </x:row>
    <x:row r="53">
      <x:c r="A53" t="n">
        <x:v>1</x:v>
      </x:c>
      <x:c r="B53" t="n">
        <x:f>ANALISIS_MENSUAL!B6</x:f>
        <x:v>0</x:v>
      </x:c>
      <x:c r="C53" t="n">
        <x:f>ANALISIS_MENSUAL!C6</x:f>
        <x:v>0</x:v>
      </x:c>
      <x:c r="D53" t="n">
        <x:f>ANALISIS_MENSUAL!D6</x:f>
        <x:v>0</x:v>
      </x:c>
      <x:c r="E53" t="n">
        <x:f>ANALISIS_MENSUAL!F6</x:f>
        <x:v>0</x:v>
      </x:c>
      <x:c r="F53" s="26" t="n">
        <x:f>ANALISIS_MENSUAL!J6</x:f>
        <x:v>0</x:v>
      </x:c>
    </x:row>
    <x:row r="54">
      <x:c r="A54" t="n">
        <x:v>2</x:v>
      </x:c>
      <x:c r="B54" t="n">
        <x:f>ANALISIS_MENSUAL!B7</x:f>
        <x:v>0</x:v>
      </x:c>
      <x:c r="C54" t="n">
        <x:f>ANALISIS_MENSUAL!C7</x:f>
        <x:v>0</x:v>
      </x:c>
      <x:c r="D54" t="n">
        <x:f>ANALISIS_MENSUAL!D7</x:f>
        <x:v>0</x:v>
      </x:c>
      <x:c r="E54" t="n">
        <x:f>ANALISIS_MENSUAL!F7</x:f>
        <x:v>0</x:v>
      </x:c>
      <x:c r="F54" s="26" t="n">
        <x:f>ANALISIS_MENSUAL!J7</x:f>
        <x:v>0</x:v>
      </x:c>
    </x:row>
    <x:row r="55">
      <x:c r="A55" t="n">
        <x:v>3</x:v>
      </x:c>
      <x:c r="B55" t="n">
        <x:f>ANALISIS_MENSUAL!B8</x:f>
        <x:v>0</x:v>
      </x:c>
      <x:c r="C55" t="n">
        <x:f>ANALISIS_MENSUAL!C8</x:f>
        <x:v>0</x:v>
      </x:c>
      <x:c r="D55" t="n">
        <x:f>ANALISIS_MENSUAL!D8</x:f>
        <x:v>0</x:v>
      </x:c>
      <x:c r="E55" t="n">
        <x:f>ANALISIS_MENSUAL!F8</x:f>
        <x:v>0</x:v>
      </x:c>
      <x:c r="F55" s="26" t="n">
        <x:f>ANALISIS_MENSUAL!J8</x:f>
        <x:v>0</x:v>
      </x:c>
    </x:row>
    <x:row r="56">
      <x:c r="A56" t="n">
        <x:v>4</x:v>
      </x:c>
      <x:c r="B56" t="n">
        <x:f>ANALISIS_MENSUAL!B9</x:f>
        <x:v>0</x:v>
      </x:c>
      <x:c r="C56" t="n">
        <x:f>ANALISIS_MENSUAL!C9</x:f>
        <x:v>0</x:v>
      </x:c>
      <x:c r="D56" t="n">
        <x:f>ANALISIS_MENSUAL!D9</x:f>
        <x:v>0</x:v>
      </x:c>
      <x:c r="E56" t="n">
        <x:f>ANALISIS_MENSUAL!F9</x:f>
        <x:v>0</x:v>
      </x:c>
      <x:c r="F56" s="26" t="n">
        <x:f>ANALISIS_MENSUAL!J9</x:f>
        <x:v>0</x:v>
      </x:c>
    </x:row>
    <x:row r="57">
      <x:c r="A57" t="n">
        <x:v>5</x:v>
      </x:c>
      <x:c r="B57" t="n">
        <x:f>ANALISIS_MENSUAL!B10</x:f>
        <x:v>0</x:v>
      </x:c>
      <x:c r="C57" t="n">
        <x:f>ANALISIS_MENSUAL!C10</x:f>
        <x:v>0</x:v>
      </x:c>
      <x:c r="D57" t="n">
        <x:f>ANALISIS_MENSUAL!D10</x:f>
        <x:v>0</x:v>
      </x:c>
      <x:c r="E57" t="n">
        <x:f>ANALISIS_MENSUAL!F10</x:f>
        <x:v>0</x:v>
      </x:c>
      <x:c r="F57" s="26" t="n">
        <x:f>ANALISIS_MENSUAL!J10</x:f>
        <x:v>0</x:v>
      </x:c>
    </x:row>
    <x:row r="58" ht="27" customHeight="1">
      <x:c r="A58" t="n">
        <x:v>6</x:v>
      </x:c>
      <x:c r="B58" t="n">
        <x:f>ANALISIS_MENSUAL!B11</x:f>
        <x:v>0</x:v>
      </x:c>
      <x:c r="C58" t="n">
        <x:f>ANALISIS_MENSUAL!C11</x:f>
        <x:v>0</x:v>
      </x:c>
      <x:c r="D58" t="n">
        <x:f>ANALISIS_MENSUAL!D11</x:f>
        <x:v>0</x:v>
      </x:c>
      <x:c r="E58" t="n">
        <x:f>ANALISIS_MENSUAL!F11</x:f>
        <x:v>0</x:v>
      </x:c>
      <x:c r="F58" s="26" t="n">
        <x:f>ANALISIS_MENSUAL!J11</x:f>
        <x:v>0</x:v>
      </x:c>
      <x:c r="H58" s="31" t="str">
        <x:v>PRE EVALUACIONES</x:v>
      </x:c>
      <x:c r="I58" s="31"/>
      <x:c r="J58" s="31"/>
      <x:c r="K58" s="31"/>
      <x:c r="L58" s="31"/>
      <x:c r="M58" s="31"/>
      <x:c r="N58" s="31"/>
      <x:c r="O58" s="31"/>
      <x:c r="P58" s="31"/>
    </x:row>
    <x:row r="59">
      <x:c r="A59" t="n">
        <x:v>7</x:v>
      </x:c>
      <x:c r="B59" t="n">
        <x:f>ANALISIS_MENSUAL!B12</x:f>
        <x:v>0</x:v>
      </x:c>
      <x:c r="C59" t="n">
        <x:f>ANALISIS_MENSUAL!C12</x:f>
        <x:v>0</x:v>
      </x:c>
      <x:c r="D59" t="n">
        <x:f>ANALISIS_MENSUAL!D12</x:f>
        <x:v>0</x:v>
      </x:c>
      <x:c r="E59" t="n">
        <x:f>ANALISIS_MENSUAL!F12</x:f>
        <x:v>0</x:v>
      </x:c>
      <x:c r="F59" s="26" t="n">
        <x:f>ANALISIS_MENSUAL!J12</x:f>
        <x:v>0</x:v>
      </x:c>
      <x:c r="H59" s="72" t="str">
        <x:v>La hoja PRE_EVALUACION recibe los registros creados desde la nueva sección de la web. En DATA_MASTER pueden consolidarse usando record_type = pre_evaluacion para análisis futuros de valores de mercado y precio cliente.</x:v>
      </x:c>
      <x:c r="I59" s="72"/>
      <x:c r="J59" s="72"/>
      <x:c r="K59" s="72"/>
      <x:c r="L59" s="72"/>
      <x:c r="M59" s="72"/>
      <x:c r="N59" s="72"/>
      <x:c r="O59" s="72"/>
      <x:c r="P59" s="72"/>
    </x:row>
    <x:row r="60">
      <x:c r="A60" t="n">
        <x:v>8</x:v>
      </x:c>
      <x:c r="B60" t="n">
        <x:f>ANALISIS_MENSUAL!B13</x:f>
        <x:v>0</x:v>
      </x:c>
      <x:c r="C60" t="n">
        <x:f>ANALISIS_MENSUAL!C13</x:f>
        <x:v>0</x:v>
      </x:c>
      <x:c r="D60" t="n">
        <x:f>ANALISIS_MENSUAL!D13</x:f>
        <x:v>0</x:v>
      </x:c>
      <x:c r="E60" t="n">
        <x:f>ANALISIS_MENSUAL!F13</x:f>
        <x:v>0</x:v>
      </x:c>
      <x:c r="F60" s="26" t="n">
        <x:f>ANALISIS_MENSUAL!J13</x:f>
        <x:v>0</x:v>
      </x:c>
      <x:c r="H60" s="72"/>
      <x:c r="I60" s="72"/>
      <x:c r="J60" s="72"/>
      <x:c r="K60" s="72"/>
      <x:c r="L60" s="72"/>
      <x:c r="M60" s="72"/>
      <x:c r="N60" s="72"/>
      <x:c r="O60" s="72"/>
      <x:c r="P60" s="72"/>
    </x:row>
    <x:row r="61">
      <x:c r="A61" t="n">
        <x:v>9</x:v>
      </x:c>
      <x:c r="B61" t="n">
        <x:f>ANALISIS_MENSUAL!B14</x:f>
        <x:v>0</x:v>
      </x:c>
      <x:c r="C61" t="n">
        <x:f>ANALISIS_MENSUAL!C14</x:f>
        <x:v>0</x:v>
      </x:c>
      <x:c r="D61" t="n">
        <x:f>ANALISIS_MENSUAL!D14</x:f>
        <x:v>0</x:v>
      </x:c>
      <x:c r="E61" t="n">
        <x:f>ANALISIS_MENSUAL!F14</x:f>
        <x:v>0</x:v>
      </x:c>
      <x:c r="F61" s="26" t="n">
        <x:f>ANALISIS_MENSUAL!J14</x:f>
        <x:v>0</x:v>
      </x:c>
      <x:c r="H61" s="72"/>
      <x:c r="I61" s="72"/>
      <x:c r="J61" s="72"/>
      <x:c r="K61" s="72"/>
      <x:c r="L61" s="72"/>
      <x:c r="M61" s="72"/>
      <x:c r="N61" s="72"/>
      <x:c r="O61" s="72"/>
      <x:c r="P61" s="72"/>
    </x:row>
    <x:row r="62">
      <x:c r="A62" t="n">
        <x:v>10</x:v>
      </x:c>
      <x:c r="B62" t="n">
        <x:f>ANALISIS_MENSUAL!B15</x:f>
        <x:v>0</x:v>
      </x:c>
      <x:c r="C62" t="n">
        <x:f>ANALISIS_MENSUAL!C15</x:f>
        <x:v>0</x:v>
      </x:c>
      <x:c r="D62" t="n">
        <x:f>ANALISIS_MENSUAL!D15</x:f>
        <x:v>0</x:v>
      </x:c>
      <x:c r="E62" t="n">
        <x:f>ANALISIS_MENSUAL!F15</x:f>
        <x:v>0</x:v>
      </x:c>
      <x:c r="F62" s="26" t="n">
        <x:f>ANALISIS_MENSUAL!J15</x:f>
        <x:v>0</x:v>
      </x:c>
      <x:c r="H62" s="72"/>
      <x:c r="I62" s="72"/>
      <x:c r="J62" s="72"/>
      <x:c r="K62" s="72"/>
      <x:c r="L62" s="72"/>
      <x:c r="M62" s="72"/>
      <x:c r="N62" s="72"/>
      <x:c r="O62" s="72"/>
      <x:c r="P62" s="72"/>
    </x:row>
    <x:row r="63">
      <x:c r="A63" t="n">
        <x:v>11</x:v>
      </x:c>
      <x:c r="B63" t="n">
        <x:f>ANALISIS_MENSUAL!B16</x:f>
        <x:v>0</x:v>
      </x:c>
      <x:c r="C63" t="n">
        <x:f>ANALISIS_MENSUAL!C16</x:f>
        <x:v>0</x:v>
      </x:c>
      <x:c r="D63" t="n">
        <x:f>ANALISIS_MENSUAL!D16</x:f>
        <x:v>0</x:v>
      </x:c>
      <x:c r="E63" t="n">
        <x:f>ANALISIS_MENSUAL!F16</x:f>
        <x:v>0</x:v>
      </x:c>
      <x:c r="F63" s="26" t="n">
        <x:f>ANALISIS_MENSUAL!J16</x:f>
        <x:v>0</x:v>
      </x:c>
      <x:c r="H63" s="72"/>
      <x:c r="I63" s="72"/>
      <x:c r="J63" s="72"/>
      <x:c r="K63" s="72"/>
      <x:c r="L63" s="72"/>
      <x:c r="M63" s="72"/>
      <x:c r="N63" s="72"/>
      <x:c r="O63" s="72"/>
      <x:c r="P63" s="72"/>
    </x:row>
    <x:row r="64">
      <x:c r="A64" t="n">
        <x:v>12</x:v>
      </x:c>
      <x:c r="B64" t="n">
        <x:f>ANALISIS_MENSUAL!B17</x:f>
        <x:v>0</x:v>
      </x:c>
      <x:c r="C64" t="n">
        <x:f>ANALISIS_MENSUAL!C17</x:f>
        <x:v>0</x:v>
      </x:c>
      <x:c r="D64" t="n">
        <x:f>ANALISIS_MENSUAL!D17</x:f>
        <x:v>0</x:v>
      </x:c>
      <x:c r="E64" t="n">
        <x:f>ANALISIS_MENSUAL!F17</x:f>
        <x:v>0</x:v>
      </x:c>
      <x:c r="F64" s="26" t="n">
        <x:f>ANALISIS_MENSUAL!J17</x:f>
        <x:v>0</x:v>
      </x:c>
    </x:row>
  </x:sheetData>
  <x:mergeCells>
    <x:mergeCell ref="A1:P1"/>
    <x:mergeCell ref="A2:P2"/>
    <x:mergeCell ref="A4:P4"/>
    <x:mergeCell ref="A6:L6"/>
    <x:mergeCell ref="A8:D8"/>
    <x:mergeCell ref="A9:D11"/>
    <x:mergeCell ref="E8:H8"/>
    <x:mergeCell ref="E9:H11"/>
    <x:mergeCell ref="I8:L8"/>
    <x:mergeCell ref="I9:L11"/>
    <x:mergeCell ref="M8:P8"/>
    <x:mergeCell ref="M9:P11"/>
    <x:mergeCell ref="A13:D13"/>
    <x:mergeCell ref="A14:D16"/>
    <x:mergeCell ref="E13:H13"/>
    <x:mergeCell ref="E14:H16"/>
    <x:mergeCell ref="I13:L13"/>
    <x:mergeCell ref="I14:L16"/>
    <x:mergeCell ref="M13:P13"/>
    <x:mergeCell ref="M14:P16"/>
    <x:mergeCell ref="A19:H19"/>
    <x:mergeCell ref="A26:F26"/>
    <x:mergeCell ref="A51:H51"/>
    <x:mergeCell ref="H58:P58"/>
    <x:mergeCell ref="H59:P63"/>
  </x:mergeCells>
  <x:conditionalFormatting sqref="B28:B32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{73AC565A-CD0F-A125-1140-E257223D1650}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a4e3877b840497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AC565A-CD0F-A125-1140-E257223D1650}">
            <x14:dataBar gradient="1">
              <x14:cfvo type="min"/>
              <x14:cfvo type="max"/>
              <x14:fillColor rgb="FFE97132"/>
            </x14:dataBar>
          </x14:cfRule>
          <xm:sqref>B28:B32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75" hidden="0" customWidth="1"/>
  </x:cols>
  <x:sheetData>
    <x:row r="1" ht="40" customHeight="1">
      <x:c r="A1" s="4" t="str">
        <x:v>DIFOR · HOJA MAESTRA V25.5</x:v>
      </x:c>
      <x:c r="B1" s="4"/>
      <x:c r="C1" s="4"/>
      <x:c r="D1" s="4"/>
      <x:c r="E1" s="4"/>
      <x:c r="F1" s="4"/>
      <x:c r="G1" s="4"/>
      <x:c r="H1" s="4"/>
    </x:row>
    <x:row r="2" ht="24" customHeight="1">
      <x:c r="A2" s="10" t="str">
        <x:v>Dashboard ejecutivo + bases técnicas preparadas para consolidación y sincronización.</x:v>
      </x:c>
      <x:c r="B2" s="10"/>
      <x:c r="C2" s="10"/>
      <x:c r="D2" s="10"/>
      <x:c r="E2" s="10"/>
      <x:c r="F2" s="10"/>
      <x:c r="G2" s="10"/>
      <x:c r="H2" s="10"/>
    </x:row>
    <x:row r="5" ht="27" customHeight="1">
      <x:c r="A5" s="17" t="str">
        <x:v>PASO</x:v>
      </x:c>
      <x:c r="B5" s="17" t="str">
        <x:v>ACCIÓN</x:v>
      </x:c>
      <x:c r="C5" s="17" t="str">
        <x:v>DETALLE</x:v>
      </x:c>
    </x:row>
    <x:row r="6">
      <x:c r="A6" s="76" t="str">
        <x:v>1</x:v>
      </x:c>
      <x:c r="B6" s="76" t="str">
        <x:v>Exportar desde DIFOR</x:v>
      </x:c>
      <x:c r="C6" s="76" t="str">
        <x:v>Usa Reportería → Reporte Maestro XLSX.</x:v>
      </x:c>
    </x:row>
    <x:row r="7">
      <x:c r="A7" s="76" t="str">
        <x:v>2</x:v>
      </x:c>
      <x:c r="B7" s="76" t="str">
        <x:v>Consolidar DATA_MASTER</x:v>
      </x:c>
      <x:c r="C7" s="76" t="str">
        <x:v>Mantén record_id como clave única para actualizar sin duplicar.</x:v>
      </x:c>
    </x:row>
    <x:row r="8">
      <x:c r="A8" s="76" t="str">
        <x:v>3</x:v>
      </x:c>
      <x:c r="B8" s="76" t="str">
        <x:v>Dashboard</x:v>
      </x:c>
      <x:c r="C8" s="76" t="str">
        <x:v>Configura Mes, Rango o Año desde CONFIG.</x:v>
      </x:c>
    </x:row>
    <x:row r="9">
      <x:c r="A9" s="76" t="str">
        <x:v>4</x:v>
      </x:c>
      <x:c r="B9" s="76" t="str">
        <x:v>Gráficos</x:v>
      </x:c>
      <x:c r="C9" s="76" t="str">
        <x:v>El tablero incorpora evolución mensual, embudo, origen de prospectos y ventas vs meta.</x:v>
      </x:c>
    </x:row>
    <x:row r="10">
      <x:c r="A10" s="76" t="str">
        <x:v>5</x:v>
      </x:c>
      <x:c r="B10" s="76" t="str">
        <x:v>Pre Evaluación</x:v>
      </x:c>
      <x:c r="C10" s="76" t="str">
        <x:v>Los nuevos registros se almacenan también en PRE_EVALUACION.</x:v>
      </x:c>
    </x:row>
    <x:row r="11">
      <x:c r="A11" s="76" t="str">
        <x:v>6</x:v>
      </x:c>
      <x:c r="B11" s="76" t="str">
        <x:v>Cotizaciones</x:v>
      </x:c>
      <x:c r="C11" s="76" t="str">
        <x:v>Cada alternativa financiera conserva quote_id, vehicle_id y finance_id.</x:v>
      </x:c>
    </x:row>
    <x:row r="12">
      <x:c r="A12" s="76" t="str">
        <x:v>7</x:v>
      </x:c>
      <x:c r="B12" s="76" t="str">
        <x:v>Sincronización futura</x:v>
      </x:c>
      <x:c r="C12" s="76" t="str">
        <x:v>La estructura queda preparada para Google Sheets / Power BI / Apps Script.</x:v>
      </x:c>
    </x:row>
    <x:row r="13">
      <x:c r="A13" s="76" t="str">
        <x:v>8</x:v>
      </x:c>
      <x:c r="B13" s="76" t="str">
        <x:v>No cambiar encabezados</x:v>
      </x:c>
      <x:c r="C13" s="76" t="str">
        <x:v>Mantén columnas estables para automatizaciones futuras.</x:v>
      </x:c>
    </x:row>
  </x:sheetData>
  <x:mergeCells>
    <x:mergeCell ref="A1:H1"/>
    <x:mergeCell ref="A2:H2"/>
  </x:mergeCells>
  <x:pageMargins left="0.7" right="0.7" top="0.75" bottom="0.75" header="0.3" footer="0.3"/>
</x:worksheet>
</file>